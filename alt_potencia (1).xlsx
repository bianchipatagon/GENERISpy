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ternativo-potencia" sheetId="1" state="visible" r:id="rId2"/>
    <sheet name="Tendencial-potencia" sheetId="2" state="visible" r:id="rId3"/>
    <sheet name="Tendencial Generacion" sheetId="3" state="visible" r:id="rId4"/>
    <sheet name="Alternativo-Generación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<sst xmlns="http://schemas.openxmlformats.org/spreadsheetml/2006/main" count="501" uniqueCount="38">
  <si>
    <t xml:space="preserve">Norte</t>
  </si>
  <si>
    <t xml:space="preserve">Centro</t>
  </si>
  <si>
    <t xml:space="preserve">Oriente</t>
  </si>
  <si>
    <t xml:space="preserve">Sur</t>
  </si>
  <si>
    <t xml:space="preserve">Pando</t>
  </si>
  <si>
    <t xml:space="preserve">Region</t>
  </si>
  <si>
    <t xml:space="preserve">Falla</t>
  </si>
  <si>
    <t xml:space="preserve">TG_ex</t>
  </si>
  <si>
    <t xml:space="preserve">Motor Dual_ex</t>
  </si>
  <si>
    <t xml:space="preserve">Central</t>
  </si>
  <si>
    <t xml:space="preserve">TV_ex</t>
  </si>
  <si>
    <t xml:space="preserve">CC_ex</t>
  </si>
  <si>
    <t xml:space="preserve">Total</t>
  </si>
  <si>
    <t xml:space="preserve">Oriental</t>
  </si>
  <si>
    <t xml:space="preserve">Solar_ex</t>
  </si>
  <si>
    <t xml:space="preserve">SD</t>
  </si>
  <si>
    <t xml:space="preserve">Solar_nv</t>
  </si>
  <si>
    <t xml:space="preserve">Hidroelectrica_ex</t>
  </si>
  <si>
    <t xml:space="preserve">Eolica_ex</t>
  </si>
  <si>
    <t xml:space="preserve">Hidro Otras</t>
  </si>
  <si>
    <t xml:space="preserve">Eolica_nuevas_SC</t>
  </si>
  <si>
    <t xml:space="preserve">Hidro Rositas</t>
  </si>
  <si>
    <t xml:space="preserve">TG</t>
  </si>
  <si>
    <t xml:space="preserve">Motor</t>
  </si>
  <si>
    <t xml:space="preserve">TV</t>
  </si>
  <si>
    <t xml:space="preserve">CC</t>
  </si>
  <si>
    <t xml:space="preserve">Solar Dist</t>
  </si>
  <si>
    <t xml:space="preserve">Solar</t>
  </si>
  <si>
    <t xml:space="preserve">Eolica</t>
  </si>
  <si>
    <t xml:space="preserve">Solar dist</t>
  </si>
  <si>
    <t xml:space="preserve">Hidro</t>
  </si>
  <si>
    <t xml:space="preserve">Con Dist</t>
  </si>
  <si>
    <t xml:space="preserve">TG_nv</t>
  </si>
  <si>
    <t xml:space="preserve">Solar Dist.</t>
  </si>
  <si>
    <t xml:space="preserve">Sin Dist</t>
  </si>
  <si>
    <t xml:space="preserve">con Dist</t>
  </si>
  <si>
    <t xml:space="preserve">fc</t>
  </si>
  <si>
    <t xml:space="preserve">Totla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</si>
</sst>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* #,##0.00\ ;\-* #,##0.00\ ;* \-#\ ;@\ "/>
    <numFmt numFmtId="166" formatCode="* #,##0.000\ ;* \-#,##0.000\ ;* \-#\ ;@\ "/>
    <numFmt numFmtId="167" formatCode="0.0"/>
    <numFmt numFmtId="168" formatCode="#,##0.0\ ;\-#,##0.0\ 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E2EDFA"/>
        <bgColor rgb="FFCCFFFF"/>
      </patternFill>
    </fill>
    <fill>
      <patternFill patternType="solid">
        <fgColor rgb="FFABABAB"/>
        <bgColor rgb="FF969696"/>
      </patternFill>
    </fill>
    <fill>
      <patternFill patternType="solid">
        <fgColor rgb="FF575757"/>
        <bgColor rgb="FF333333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E2ED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7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6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U6" activeCellId="0" sqref="U6"/>
    </sheetView>
  </sheetViews>
  <sheetFormatPr defaultColWidth="10.7421875" defaultRowHeight="13.8" zeroHeight="false" outlineLevelRow="0" outlineLevelCol="0"/>
  <sheetData>
    <row r="1" customFormat="false" ht="13.8" hidden="false" customHeight="false" outlineLevel="0" collapsed="false">
      <c r="F1" s="1" t="s">
        <v>0</v>
      </c>
      <c r="G1" s="1"/>
      <c r="J1" s="1" t="s">
        <v>1</v>
      </c>
      <c r="K1" s="1"/>
      <c r="N1" s="1" t="s">
        <v>2</v>
      </c>
      <c r="O1" s="1"/>
      <c r="R1" s="1" t="s">
        <v>3</v>
      </c>
      <c r="S1" s="1"/>
      <c r="V1" s="1" t="s">
        <v>4</v>
      </c>
      <c r="W1" s="1"/>
    </row>
    <row r="2" customFormat="false" ht="13.8" hidden="false" customHeight="false" outlineLevel="0" collapsed="false">
      <c r="F2" s="0" t="n">
        <v>2025</v>
      </c>
      <c r="G2" s="0" t="n">
        <v>2050</v>
      </c>
      <c r="J2" s="0" t="n">
        <v>2025</v>
      </c>
      <c r="K2" s="0" t="n">
        <v>2050</v>
      </c>
      <c r="N2" s="0" t="n">
        <v>2025</v>
      </c>
      <c r="O2" s="0" t="n">
        <v>2050</v>
      </c>
      <c r="R2" s="0" t="n">
        <v>2025</v>
      </c>
      <c r="S2" s="0" t="n">
        <v>2050</v>
      </c>
      <c r="V2" s="0" t="n">
        <v>2025</v>
      </c>
      <c r="W2" s="0" t="n">
        <v>2050</v>
      </c>
    </row>
    <row r="3" customFormat="false" ht="13.8" hidden="false" customHeight="false" outlineLevel="0" collapsed="false">
      <c r="A3" s="0" t="s">
        <v>5</v>
      </c>
      <c r="B3" s="0" t="n">
        <v>2025</v>
      </c>
      <c r="C3" s="0" t="n">
        <v>2050</v>
      </c>
      <c r="E3" s="0" t="s">
        <v>6</v>
      </c>
      <c r="F3" s="2" t="n">
        <v>40</v>
      </c>
      <c r="G3" s="2" t="n">
        <v>40</v>
      </c>
      <c r="I3" s="0" t="s">
        <v>6</v>
      </c>
      <c r="J3" s="2" t="n">
        <v>50</v>
      </c>
      <c r="K3" s="2" t="n">
        <v>50</v>
      </c>
      <c r="M3" s="0" t="s">
        <v>6</v>
      </c>
      <c r="N3" s="2" t="n">
        <v>20</v>
      </c>
      <c r="O3" s="2" t="n">
        <v>20</v>
      </c>
      <c r="Q3" s="0" t="s">
        <v>6</v>
      </c>
      <c r="R3" s="2" t="n">
        <v>55</v>
      </c>
      <c r="S3" s="2" t="n">
        <v>55</v>
      </c>
      <c r="U3" s="0" t="s">
        <v>6</v>
      </c>
      <c r="V3" s="2" t="n">
        <v>6.5</v>
      </c>
      <c r="W3" s="2" t="n">
        <v>6.5</v>
      </c>
    </row>
    <row r="4" customFormat="false" ht="13.8" hidden="false" customHeight="false" outlineLevel="0" collapsed="false">
      <c r="A4" s="0" t="s">
        <v>0</v>
      </c>
      <c r="B4" s="2" t="n">
        <v>630.8</v>
      </c>
      <c r="C4" s="2" t="n">
        <v>1213.3</v>
      </c>
      <c r="E4" s="0" t="s">
        <v>7</v>
      </c>
      <c r="F4" s="2" t="n">
        <v>50.3</v>
      </c>
      <c r="G4" s="2" t="n">
        <v>50.3</v>
      </c>
      <c r="I4" s="0" t="s">
        <v>7</v>
      </c>
      <c r="J4" s="2" t="n">
        <v>419.8</v>
      </c>
      <c r="K4" s="2" t="n">
        <v>419.8</v>
      </c>
      <c r="M4" s="0" t="s">
        <v>7</v>
      </c>
      <c r="N4" s="2" t="n">
        <v>235</v>
      </c>
      <c r="O4" s="2" t="n">
        <v>235</v>
      </c>
      <c r="Q4" s="0" t="s">
        <v>7</v>
      </c>
      <c r="R4" s="2" t="n">
        <v>36.2</v>
      </c>
      <c r="S4" s="2" t="n">
        <v>36.2</v>
      </c>
      <c r="U4" s="0" t="s">
        <v>8</v>
      </c>
      <c r="V4" s="2" t="n">
        <v>65.8</v>
      </c>
      <c r="W4" s="2" t="n">
        <v>65.8</v>
      </c>
    </row>
    <row r="5" customFormat="false" ht="13.8" hidden="false" customHeight="false" outlineLevel="0" collapsed="false">
      <c r="A5" s="0" t="s">
        <v>9</v>
      </c>
      <c r="B5" s="2" t="n">
        <v>1646.7</v>
      </c>
      <c r="C5" s="2" t="n">
        <v>2468.9</v>
      </c>
      <c r="E5" s="0" t="s">
        <v>10</v>
      </c>
      <c r="F5" s="2" t="n">
        <v>15</v>
      </c>
      <c r="G5" s="2" t="n">
        <v>15</v>
      </c>
      <c r="I5" s="0" t="s">
        <v>11</v>
      </c>
      <c r="J5" s="2" t="n">
        <v>480</v>
      </c>
      <c r="K5" s="2" t="n">
        <v>480</v>
      </c>
      <c r="M5" s="0" t="s">
        <v>10</v>
      </c>
      <c r="N5" s="2" t="n">
        <v>84.3</v>
      </c>
      <c r="O5" s="2" t="n">
        <v>84.3</v>
      </c>
      <c r="Q5" s="0" t="s">
        <v>8</v>
      </c>
      <c r="R5" s="2" t="n">
        <v>0</v>
      </c>
      <c r="S5" s="2" t="n">
        <v>0</v>
      </c>
      <c r="U5" s="0" t="s">
        <v>12</v>
      </c>
      <c r="V5" s="2" t="n">
        <v>72.3</v>
      </c>
      <c r="W5" s="2" t="n">
        <v>72.3</v>
      </c>
    </row>
    <row r="6" customFormat="false" ht="13.8" hidden="false" customHeight="false" outlineLevel="0" collapsed="false">
      <c r="A6" s="0" t="s">
        <v>13</v>
      </c>
      <c r="B6" s="2" t="n">
        <v>1363</v>
      </c>
      <c r="C6" s="2" t="n">
        <v>2952.8</v>
      </c>
      <c r="E6" s="0" t="s">
        <v>8</v>
      </c>
      <c r="F6" s="2" t="n">
        <v>37.8</v>
      </c>
      <c r="G6" s="2" t="n">
        <v>37.8</v>
      </c>
      <c r="I6" s="0" t="s">
        <v>14</v>
      </c>
      <c r="J6" s="2" t="n">
        <v>100</v>
      </c>
      <c r="K6" s="2" t="n">
        <v>100</v>
      </c>
      <c r="M6" s="0" t="s">
        <v>11</v>
      </c>
      <c r="N6" s="2" t="n">
        <v>736</v>
      </c>
      <c r="O6" s="2" t="n">
        <v>736</v>
      </c>
      <c r="Q6" s="0" t="s">
        <v>11</v>
      </c>
      <c r="R6" s="2" t="n">
        <v>508.5</v>
      </c>
      <c r="S6" s="2" t="n">
        <v>508.5</v>
      </c>
      <c r="U6" s="0" t="s">
        <v>15</v>
      </c>
      <c r="V6" s="0" t="n">
        <v>0.4</v>
      </c>
      <c r="W6" s="0" t="n">
        <v>10</v>
      </c>
    </row>
    <row r="7" customFormat="false" ht="13.8" hidden="false" customHeight="false" outlineLevel="0" collapsed="false">
      <c r="A7" s="0" t="s">
        <v>3</v>
      </c>
      <c r="B7" s="2" t="n">
        <v>643.6</v>
      </c>
      <c r="C7" s="2" t="n">
        <v>1375.5</v>
      </c>
      <c r="E7" s="0" t="s">
        <v>16</v>
      </c>
      <c r="F7" s="2" t="n">
        <v>120</v>
      </c>
      <c r="G7" s="2" t="n">
        <v>320</v>
      </c>
      <c r="I7" s="0" t="s">
        <v>16</v>
      </c>
      <c r="J7" s="2" t="n">
        <v>0</v>
      </c>
      <c r="K7" s="2" t="n">
        <v>588</v>
      </c>
      <c r="M7" s="0" t="s">
        <v>16</v>
      </c>
      <c r="N7" s="2" t="n">
        <v>20</v>
      </c>
      <c r="O7" s="2" t="n">
        <v>20</v>
      </c>
      <c r="Q7" s="0" t="s">
        <v>14</v>
      </c>
      <c r="R7" s="2" t="n">
        <v>64</v>
      </c>
      <c r="S7" s="2" t="n">
        <v>64</v>
      </c>
    </row>
    <row r="8" customFormat="false" ht="13.8" hidden="false" customHeight="false" outlineLevel="0" collapsed="false">
      <c r="A8" s="0" t="s">
        <v>4</v>
      </c>
      <c r="B8" s="2" t="n">
        <v>66.2</v>
      </c>
      <c r="C8" s="2" t="n">
        <v>75.8</v>
      </c>
      <c r="E8" s="0" t="s">
        <v>17</v>
      </c>
      <c r="F8" s="2" t="n">
        <v>309.7</v>
      </c>
      <c r="G8" s="2" t="n">
        <v>309.7</v>
      </c>
      <c r="I8" s="0" t="s">
        <v>18</v>
      </c>
      <c r="J8" s="2" t="n">
        <v>27</v>
      </c>
      <c r="K8" s="2" t="n">
        <v>27</v>
      </c>
      <c r="M8" s="0" t="s">
        <v>18</v>
      </c>
      <c r="N8" s="2" t="n">
        <v>108</v>
      </c>
      <c r="O8" s="2" t="n">
        <v>108</v>
      </c>
      <c r="Q8" s="0" t="s">
        <v>16</v>
      </c>
      <c r="R8" s="2" t="n">
        <v>2.4</v>
      </c>
      <c r="S8" s="2" t="n">
        <v>632.4</v>
      </c>
    </row>
    <row r="9" customFormat="false" ht="13.8" hidden="false" customHeight="false" outlineLevel="0" collapsed="false">
      <c r="B9" s="2" t="n">
        <f aca="false">SUM(B4:B8)</f>
        <v>4350.3</v>
      </c>
      <c r="C9" s="2" t="n">
        <f aca="false">SUM(C4:C8)</f>
        <v>8086.3</v>
      </c>
      <c r="E9" s="0" t="s">
        <v>19</v>
      </c>
      <c r="F9" s="2" t="n">
        <v>86</v>
      </c>
      <c r="G9" s="2" t="n">
        <v>205</v>
      </c>
      <c r="I9" s="0" t="s">
        <v>20</v>
      </c>
      <c r="J9" s="2" t="n">
        <v>0</v>
      </c>
      <c r="K9" s="2" t="n">
        <v>51</v>
      </c>
      <c r="M9" s="0" t="s">
        <v>20</v>
      </c>
      <c r="N9" s="2" t="n">
        <v>161</v>
      </c>
      <c r="O9" s="2" t="n">
        <v>741</v>
      </c>
      <c r="Q9" s="0" t="s">
        <v>17</v>
      </c>
      <c r="R9" s="2" t="n">
        <v>27.9</v>
      </c>
      <c r="S9" s="2" t="n">
        <v>27.9</v>
      </c>
    </row>
    <row r="10" customFormat="false" ht="13.8" hidden="false" customHeight="false" outlineLevel="0" collapsed="false">
      <c r="E10" s="0" t="s">
        <v>12</v>
      </c>
      <c r="F10" s="2" t="n">
        <v>658.8</v>
      </c>
      <c r="G10" s="2" t="n">
        <v>977.8</v>
      </c>
      <c r="I10" s="0" t="s">
        <v>17</v>
      </c>
      <c r="J10" s="2" t="n">
        <v>420.5</v>
      </c>
      <c r="K10" s="2" t="n">
        <v>420.5</v>
      </c>
      <c r="M10" s="0" t="s">
        <v>21</v>
      </c>
      <c r="N10" s="2" t="n">
        <v>0</v>
      </c>
      <c r="O10" s="2" t="n">
        <v>600</v>
      </c>
      <c r="Q10" s="0" t="s">
        <v>12</v>
      </c>
      <c r="R10" s="2" t="n">
        <v>694</v>
      </c>
      <c r="S10" s="2" t="n">
        <v>1324</v>
      </c>
    </row>
    <row r="11" customFormat="false" ht="13.8" hidden="false" customHeight="false" outlineLevel="0" collapsed="false">
      <c r="E11" s="0" t="s">
        <v>15</v>
      </c>
      <c r="F11" s="0" t="n">
        <v>12</v>
      </c>
      <c r="G11" s="0" t="n">
        <v>275.5</v>
      </c>
      <c r="I11" s="0" t="s">
        <v>19</v>
      </c>
      <c r="J11" s="2" t="n">
        <v>291</v>
      </c>
      <c r="K11" s="2" t="n">
        <v>291</v>
      </c>
      <c r="M11" s="0" t="s">
        <v>12</v>
      </c>
      <c r="N11" s="2" t="n">
        <v>1364.3</v>
      </c>
      <c r="O11" s="2" t="n">
        <v>2544.3</v>
      </c>
      <c r="Q11" s="0" t="s">
        <v>15</v>
      </c>
      <c r="R11" s="2" t="n">
        <v>4.6</v>
      </c>
      <c r="S11" s="0" t="n">
        <v>106.5</v>
      </c>
    </row>
    <row r="12" customFormat="false" ht="13.8" hidden="false" customHeight="false" outlineLevel="0" collapsed="false">
      <c r="I12" s="0" t="s">
        <v>12</v>
      </c>
      <c r="J12" s="2" t="n">
        <v>1788.3</v>
      </c>
      <c r="K12" s="2" t="n">
        <v>2427.3</v>
      </c>
      <c r="M12" s="0" t="s">
        <v>15</v>
      </c>
      <c r="N12" s="0" t="n">
        <v>18.7</v>
      </c>
      <c r="O12" s="0" t="n">
        <v>428.5</v>
      </c>
    </row>
    <row r="13" customFormat="false" ht="13.8" hidden="false" customHeight="false" outlineLevel="0" collapsed="false">
      <c r="I13" s="0" t="s">
        <v>15</v>
      </c>
      <c r="J13" s="0" t="n">
        <v>8.4</v>
      </c>
      <c r="K13" s="0" t="n">
        <v>191.6</v>
      </c>
    </row>
    <row r="17" customFormat="false" ht="13.8" hidden="false" customHeight="false" outlineLevel="0" collapsed="false">
      <c r="F17" s="1" t="s">
        <v>0</v>
      </c>
      <c r="G17" s="1"/>
      <c r="J17" s="1" t="s">
        <v>1</v>
      </c>
      <c r="K17" s="1"/>
      <c r="N17" s="1" t="s">
        <v>2</v>
      </c>
      <c r="O17" s="1"/>
      <c r="R17" s="1" t="s">
        <v>3</v>
      </c>
      <c r="S17" s="1"/>
      <c r="V17" s="1" t="s">
        <v>4</v>
      </c>
      <c r="W17" s="1"/>
    </row>
    <row r="18" customFormat="false" ht="13.8" hidden="false" customHeight="false" outlineLevel="0" collapsed="false">
      <c r="F18" s="0" t="n">
        <v>2025</v>
      </c>
      <c r="G18" s="0" t="n">
        <v>2050</v>
      </c>
      <c r="J18" s="0" t="n">
        <v>2025</v>
      </c>
      <c r="K18" s="0" t="n">
        <v>2050</v>
      </c>
      <c r="N18" s="0" t="n">
        <v>2025</v>
      </c>
      <c r="O18" s="0" t="n">
        <v>2050</v>
      </c>
      <c r="R18" s="0" t="n">
        <v>2025</v>
      </c>
      <c r="S18" s="0" t="n">
        <v>2050</v>
      </c>
      <c r="V18" s="0" t="n">
        <v>2025</v>
      </c>
      <c r="W18" s="0" t="n">
        <v>2050</v>
      </c>
    </row>
    <row r="19" customFormat="false" ht="13.8" hidden="false" customHeight="false" outlineLevel="0" collapsed="false">
      <c r="E19" s="0" t="s">
        <v>22</v>
      </c>
      <c r="F19" s="2" t="n">
        <v>50.3</v>
      </c>
      <c r="G19" s="2" t="n">
        <v>50.3</v>
      </c>
      <c r="I19" s="0" t="s">
        <v>22</v>
      </c>
      <c r="J19" s="2" t="n">
        <v>419.8</v>
      </c>
      <c r="K19" s="2" t="n">
        <v>419.8</v>
      </c>
      <c r="M19" s="0" t="s">
        <v>22</v>
      </c>
      <c r="N19" s="2" t="n">
        <v>235</v>
      </c>
      <c r="O19" s="2" t="n">
        <v>235</v>
      </c>
      <c r="Q19" s="0" t="s">
        <v>22</v>
      </c>
      <c r="R19" s="2" t="n">
        <v>36.2</v>
      </c>
      <c r="S19" s="2" t="n">
        <v>36.2</v>
      </c>
      <c r="U19" s="0" t="s">
        <v>23</v>
      </c>
      <c r="V19" s="2" t="n">
        <v>65.8</v>
      </c>
      <c r="W19" s="2" t="n">
        <v>65.8</v>
      </c>
    </row>
    <row r="20" customFormat="false" ht="13.8" hidden="false" customHeight="false" outlineLevel="0" collapsed="false">
      <c r="E20" s="0" t="s">
        <v>24</v>
      </c>
      <c r="F20" s="2" t="n">
        <v>15</v>
      </c>
      <c r="G20" s="2" t="n">
        <v>15</v>
      </c>
      <c r="I20" s="0" t="s">
        <v>25</v>
      </c>
      <c r="J20" s="2" t="n">
        <v>480</v>
      </c>
      <c r="K20" s="2" t="n">
        <v>480</v>
      </c>
      <c r="M20" s="0" t="s">
        <v>24</v>
      </c>
      <c r="N20" s="2" t="n">
        <v>84.3</v>
      </c>
      <c r="O20" s="2" t="n">
        <v>84.3</v>
      </c>
      <c r="Q20" s="0" t="s">
        <v>25</v>
      </c>
      <c r="R20" s="2" t="n">
        <v>508.5</v>
      </c>
      <c r="S20" s="2" t="n">
        <v>508.5</v>
      </c>
      <c r="U20" s="0" t="s">
        <v>26</v>
      </c>
      <c r="V20" s="0" t="n">
        <v>0.4</v>
      </c>
      <c r="W20" s="0" t="n">
        <v>10</v>
      </c>
    </row>
    <row r="21" customFormat="false" ht="13.8" hidden="false" customHeight="false" outlineLevel="0" collapsed="false">
      <c r="E21" s="0" t="s">
        <v>23</v>
      </c>
      <c r="F21" s="2" t="n">
        <v>37.8</v>
      </c>
      <c r="G21" s="2" t="n">
        <v>37.8</v>
      </c>
      <c r="I21" s="0" t="s">
        <v>27</v>
      </c>
      <c r="J21" s="2" t="n">
        <v>0</v>
      </c>
      <c r="K21" s="2" t="n">
        <v>588</v>
      </c>
      <c r="M21" s="0" t="s">
        <v>25</v>
      </c>
      <c r="N21" s="2" t="n">
        <v>736</v>
      </c>
      <c r="O21" s="2" t="n">
        <v>736</v>
      </c>
      <c r="Q21" s="0" t="s">
        <v>27</v>
      </c>
      <c r="R21" s="3" t="n">
        <f aca="false">SUM(R7:R8)</f>
        <v>66.4</v>
      </c>
      <c r="S21" s="3" t="n">
        <f aca="false">SUM(S7:S8)</f>
        <v>696.4</v>
      </c>
      <c r="U21" s="0" t="s">
        <v>12</v>
      </c>
      <c r="V21" s="3" t="n">
        <f aca="false">SUM(V19:V20)</f>
        <v>66.2</v>
      </c>
      <c r="W21" s="3" t="n">
        <f aca="false">SUM(W19:W20)</f>
        <v>75.8</v>
      </c>
    </row>
    <row r="22" customFormat="false" ht="13.8" hidden="false" customHeight="false" outlineLevel="0" collapsed="false">
      <c r="E22" s="0" t="s">
        <v>27</v>
      </c>
      <c r="F22" s="2" t="n">
        <v>120</v>
      </c>
      <c r="G22" s="2" t="n">
        <v>320</v>
      </c>
      <c r="I22" s="0" t="s">
        <v>26</v>
      </c>
      <c r="J22" s="0" t="n">
        <v>8.4</v>
      </c>
      <c r="K22" s="0" t="n">
        <v>191.6</v>
      </c>
      <c r="M22" s="0" t="s">
        <v>27</v>
      </c>
      <c r="N22" s="2" t="n">
        <v>20</v>
      </c>
      <c r="O22" s="2" t="n">
        <v>20</v>
      </c>
      <c r="Q22" s="0" t="s">
        <v>26</v>
      </c>
      <c r="R22" s="2" t="n">
        <v>4.6</v>
      </c>
      <c r="S22" s="0" t="n">
        <v>106.5</v>
      </c>
    </row>
    <row r="23" customFormat="false" ht="13.8" hidden="false" customHeight="false" outlineLevel="0" collapsed="false">
      <c r="E23" s="0" t="s">
        <v>26</v>
      </c>
      <c r="F23" s="0" t="n">
        <v>12</v>
      </c>
      <c r="G23" s="0" t="n">
        <v>275.5</v>
      </c>
      <c r="I23" s="0" t="s">
        <v>28</v>
      </c>
      <c r="J23" s="3" t="n">
        <f aca="false">SUM(J8:J9)</f>
        <v>27</v>
      </c>
      <c r="K23" s="3" t="n">
        <f aca="false">SUM(K8:K9)</f>
        <v>78</v>
      </c>
      <c r="M23" s="0" t="s">
        <v>29</v>
      </c>
      <c r="N23" s="0" t="n">
        <v>18.7</v>
      </c>
      <c r="O23" s="0" t="n">
        <v>428.5</v>
      </c>
      <c r="Q23" s="0" t="s">
        <v>30</v>
      </c>
      <c r="R23" s="2" t="n">
        <v>27.9</v>
      </c>
      <c r="S23" s="2" t="n">
        <v>27.9</v>
      </c>
    </row>
    <row r="24" customFormat="false" ht="13.8" hidden="false" customHeight="false" outlineLevel="0" collapsed="false">
      <c r="E24" s="0" t="s">
        <v>30</v>
      </c>
      <c r="F24" s="3" t="n">
        <f aca="false">SUM(F8:F9)</f>
        <v>395.7</v>
      </c>
      <c r="G24" s="3" t="n">
        <f aca="false">SUM(G8:G9)</f>
        <v>514.7</v>
      </c>
      <c r="I24" s="0" t="s">
        <v>30</v>
      </c>
      <c r="J24" s="3" t="n">
        <f aca="false">SUM(J10:J11)</f>
        <v>711.5</v>
      </c>
      <c r="K24" s="3" t="n">
        <f aca="false">SUM(K10:K11)</f>
        <v>711.5</v>
      </c>
      <c r="M24" s="0" t="s">
        <v>28</v>
      </c>
      <c r="N24" s="3" t="n">
        <f aca="false">SUM(N8:N9)</f>
        <v>269</v>
      </c>
      <c r="O24" s="3" t="n">
        <f aca="false">SUM(O8:O9)</f>
        <v>849</v>
      </c>
      <c r="Q24" s="0" t="s">
        <v>12</v>
      </c>
      <c r="R24" s="3" t="n">
        <f aca="false">SUM(R19:R23)</f>
        <v>643.6</v>
      </c>
      <c r="S24" s="3" t="n">
        <f aca="false">SUM(S19:S23)</f>
        <v>1375.5</v>
      </c>
    </row>
    <row r="25" customFormat="false" ht="13.8" hidden="false" customHeight="false" outlineLevel="0" collapsed="false">
      <c r="E25" s="0" t="s">
        <v>12</v>
      </c>
      <c r="F25" s="3" t="n">
        <f aca="false">SUM(F19:F24)</f>
        <v>630.8</v>
      </c>
      <c r="G25" s="3" t="n">
        <f aca="false">SUM(G19:G24)</f>
        <v>1213.3</v>
      </c>
      <c r="I25" s="0" t="s">
        <v>12</v>
      </c>
      <c r="J25" s="3" t="n">
        <f aca="false">SUM(J19:J24)</f>
        <v>1646.7</v>
      </c>
      <c r="K25" s="3" t="n">
        <f aca="false">SUM(K19:K24)</f>
        <v>2468.9</v>
      </c>
      <c r="M25" s="0" t="s">
        <v>30</v>
      </c>
      <c r="N25" s="2" t="n">
        <v>0</v>
      </c>
      <c r="O25" s="2" t="n">
        <v>600</v>
      </c>
    </row>
    <row r="26" customFormat="false" ht="13.8" hidden="false" customHeight="false" outlineLevel="0" collapsed="false">
      <c r="M26" s="0" t="s">
        <v>12</v>
      </c>
      <c r="N26" s="3" t="n">
        <f aca="false">SUM(N19:N25)</f>
        <v>1363</v>
      </c>
      <c r="O26" s="3" t="n">
        <f aca="false">SUM(O19:O25)</f>
        <v>2952.8</v>
      </c>
    </row>
  </sheetData>
  <mergeCells count="10">
    <mergeCell ref="F1:G1"/>
    <mergeCell ref="J1:K1"/>
    <mergeCell ref="N1:O1"/>
    <mergeCell ref="R1:S1"/>
    <mergeCell ref="V1:W1"/>
    <mergeCell ref="F17:G17"/>
    <mergeCell ref="J17:K17"/>
    <mergeCell ref="N17:O17"/>
    <mergeCell ref="R17:S17"/>
    <mergeCell ref="V17:W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W47"/>
  <sheetViews>
    <sheetView showFormulas="false" showGridLines="true" showRowColHeaders="true" showZeros="true" rightToLeft="false" tabSelected="false" showOutlineSymbols="true" defaultGridColor="true" view="normal" topLeftCell="D10" colorId="64" zoomScale="100" zoomScaleNormal="100" zoomScalePageLayoutView="100" workbookViewId="0">
      <selection pane="topLeft" activeCell="O36" activeCellId="0" sqref="O36"/>
    </sheetView>
  </sheetViews>
  <sheetFormatPr defaultColWidth="10.7421875" defaultRowHeight="13.8" zeroHeight="false" outlineLevelRow="0" outlineLevelCol="0"/>
  <sheetData>
    <row r="2" customFormat="false" ht="13.8" hidden="false" customHeight="false" outlineLevel="0" collapsed="false">
      <c r="A2" s="0" t="s">
        <v>31</v>
      </c>
    </row>
    <row r="3" customFormat="false" ht="13.8" hidden="false" customHeight="false" outlineLevel="0" collapsed="false">
      <c r="F3" s="1" t="s">
        <v>0</v>
      </c>
      <c r="G3" s="1"/>
      <c r="J3" s="1" t="s">
        <v>1</v>
      </c>
      <c r="K3" s="1"/>
      <c r="N3" s="1" t="s">
        <v>2</v>
      </c>
      <c r="O3" s="1"/>
      <c r="R3" s="1" t="s">
        <v>3</v>
      </c>
      <c r="S3" s="1"/>
      <c r="V3" s="1" t="s">
        <v>4</v>
      </c>
      <c r="W3" s="1"/>
    </row>
    <row r="4" customFormat="false" ht="13.8" hidden="false" customHeight="false" outlineLevel="0" collapsed="false">
      <c r="A4" s="0" t="s">
        <v>5</v>
      </c>
      <c r="B4" s="0" t="n">
        <v>2025</v>
      </c>
      <c r="C4" s="0" t="n">
        <v>2050</v>
      </c>
      <c r="F4" s="0" t="n">
        <v>2025</v>
      </c>
      <c r="G4" s="0" t="n">
        <v>2050</v>
      </c>
      <c r="J4" s="0" t="n">
        <v>2025</v>
      </c>
      <c r="K4" s="0" t="n">
        <v>2050</v>
      </c>
      <c r="N4" s="0" t="n">
        <v>2025</v>
      </c>
      <c r="O4" s="0" t="n">
        <v>2050</v>
      </c>
      <c r="R4" s="0" t="n">
        <v>2025</v>
      </c>
      <c r="S4" s="0" t="n">
        <v>2050</v>
      </c>
      <c r="V4" s="0" t="n">
        <v>2025</v>
      </c>
      <c r="W4" s="0" t="n">
        <v>2050</v>
      </c>
    </row>
    <row r="5" customFormat="false" ht="13.8" hidden="false" customHeight="false" outlineLevel="0" collapsed="false">
      <c r="A5" s="0" t="s">
        <v>0</v>
      </c>
      <c r="B5" s="0" t="n">
        <v>630.8</v>
      </c>
      <c r="C5" s="0" t="n">
        <v>1050.62135</v>
      </c>
      <c r="E5" s="0" t="s">
        <v>7</v>
      </c>
      <c r="F5" s="0" t="n">
        <v>50.3</v>
      </c>
      <c r="G5" s="0" t="n">
        <v>50.3</v>
      </c>
      <c r="I5" s="0" t="s">
        <v>7</v>
      </c>
      <c r="J5" s="0" t="n">
        <v>419.8</v>
      </c>
      <c r="K5" s="0" t="n">
        <v>419.8</v>
      </c>
      <c r="M5" s="0" t="s">
        <v>7</v>
      </c>
      <c r="N5" s="0" t="n">
        <v>235</v>
      </c>
      <c r="O5" s="0" t="n">
        <v>235</v>
      </c>
      <c r="Q5" s="0" t="s">
        <v>7</v>
      </c>
      <c r="R5" s="0" t="n">
        <v>36.2</v>
      </c>
      <c r="S5" s="0" t="n">
        <v>36.2</v>
      </c>
      <c r="U5" s="0" t="s">
        <v>8</v>
      </c>
      <c r="V5" s="0" t="n">
        <v>65.8</v>
      </c>
      <c r="W5" s="0" t="n">
        <v>65.8</v>
      </c>
    </row>
    <row r="6" customFormat="false" ht="13.8" hidden="false" customHeight="false" outlineLevel="0" collapsed="false">
      <c r="A6" s="0" t="s">
        <v>9</v>
      </c>
      <c r="B6" s="0" t="n">
        <v>1746.7</v>
      </c>
      <c r="C6" s="0" t="n">
        <v>2127.9</v>
      </c>
      <c r="E6" s="0" t="s">
        <v>32</v>
      </c>
      <c r="F6" s="0" t="n">
        <v>0</v>
      </c>
      <c r="G6" s="0" t="n">
        <v>37.32135</v>
      </c>
      <c r="I6" s="0" t="s">
        <v>11</v>
      </c>
      <c r="J6" s="0" t="n">
        <v>480</v>
      </c>
      <c r="K6" s="0" t="n">
        <v>480</v>
      </c>
      <c r="M6" s="0" t="s">
        <v>32</v>
      </c>
      <c r="N6" s="0" t="n">
        <v>0</v>
      </c>
      <c r="O6" s="0" t="n">
        <v>136.025329</v>
      </c>
      <c r="Q6" s="0" t="s">
        <v>32</v>
      </c>
      <c r="R6" s="0" t="n">
        <v>0</v>
      </c>
      <c r="S6" s="0" t="n">
        <v>1.861837</v>
      </c>
      <c r="U6" s="0" t="s">
        <v>15</v>
      </c>
      <c r="V6" s="0" t="n">
        <v>0.4</v>
      </c>
      <c r="W6" s="0" t="n">
        <v>10</v>
      </c>
    </row>
    <row r="7" customFormat="false" ht="13.8" hidden="false" customHeight="false" outlineLevel="0" collapsed="false">
      <c r="A7" s="0" t="s">
        <v>13</v>
      </c>
      <c r="B7" s="0" t="n">
        <v>1463</v>
      </c>
      <c r="C7" s="0" t="n">
        <v>2008.825329</v>
      </c>
      <c r="E7" s="0" t="s">
        <v>10</v>
      </c>
      <c r="F7" s="0" t="n">
        <v>15</v>
      </c>
      <c r="G7" s="0" t="n">
        <v>15</v>
      </c>
      <c r="I7" s="0" t="s">
        <v>14</v>
      </c>
      <c r="J7" s="0" t="n">
        <v>100</v>
      </c>
      <c r="K7" s="0" t="n">
        <v>100</v>
      </c>
      <c r="M7" s="0" t="s">
        <v>10</v>
      </c>
      <c r="N7" s="0" t="n">
        <v>84.3</v>
      </c>
      <c r="O7" s="0" t="n">
        <v>84.3</v>
      </c>
      <c r="Q7" s="0" t="s">
        <v>8</v>
      </c>
      <c r="R7" s="0" t="n">
        <v>0</v>
      </c>
      <c r="S7" s="0" t="n">
        <v>0</v>
      </c>
      <c r="U7" s="0" t="s">
        <v>12</v>
      </c>
      <c r="V7" s="0" t="n">
        <f aca="false">SUM(V5:V6)</f>
        <v>66.2</v>
      </c>
      <c r="W7" s="0" t="n">
        <f aca="false">SUM(W5:W6)</f>
        <v>75.8</v>
      </c>
    </row>
    <row r="8" customFormat="false" ht="13.8" hidden="false" customHeight="false" outlineLevel="0" collapsed="false">
      <c r="A8" s="0" t="s">
        <v>3</v>
      </c>
      <c r="B8" s="0" t="n">
        <v>643.6</v>
      </c>
      <c r="C8" s="0" t="n">
        <v>747.361837</v>
      </c>
      <c r="E8" s="0" t="s">
        <v>8</v>
      </c>
      <c r="F8" s="0" t="n">
        <v>37.8</v>
      </c>
      <c r="G8" s="0" t="n">
        <v>37.8</v>
      </c>
      <c r="I8" s="0" t="s">
        <v>16</v>
      </c>
      <c r="J8" s="0" t="n">
        <v>0</v>
      </c>
      <c r="K8" s="0" t="n">
        <v>198</v>
      </c>
      <c r="M8" s="0" t="s">
        <v>11</v>
      </c>
      <c r="N8" s="0" t="n">
        <v>736</v>
      </c>
      <c r="O8" s="0" t="n">
        <v>736</v>
      </c>
      <c r="Q8" s="0" t="s">
        <v>11</v>
      </c>
      <c r="R8" s="0" t="n">
        <v>508.5</v>
      </c>
      <c r="S8" s="0" t="n">
        <v>508.5</v>
      </c>
    </row>
    <row r="9" customFormat="false" ht="13.8" hidden="false" customHeight="false" outlineLevel="0" collapsed="false">
      <c r="A9" s="0" t="s">
        <v>4</v>
      </c>
      <c r="B9" s="0" t="n">
        <v>66.2</v>
      </c>
      <c r="C9" s="0" t="n">
        <v>75.8</v>
      </c>
      <c r="E9" s="0" t="s">
        <v>16</v>
      </c>
      <c r="F9" s="0" t="n">
        <v>120</v>
      </c>
      <c r="G9" s="0" t="n">
        <v>120</v>
      </c>
      <c r="I9" s="0" t="s">
        <v>18</v>
      </c>
      <c r="J9" s="0" t="n">
        <v>27</v>
      </c>
      <c r="K9" s="0" t="n">
        <v>27</v>
      </c>
      <c r="M9" s="0" t="s">
        <v>16</v>
      </c>
      <c r="N9" s="0" t="n">
        <v>20</v>
      </c>
      <c r="O9" s="0" t="n">
        <v>20</v>
      </c>
      <c r="Q9" s="0" t="s">
        <v>14</v>
      </c>
      <c r="R9" s="0" t="n">
        <v>64</v>
      </c>
      <c r="S9" s="0" t="n">
        <v>64</v>
      </c>
    </row>
    <row r="10" customFormat="false" ht="13.8" hidden="false" customHeight="false" outlineLevel="0" collapsed="false">
      <c r="A10" s="0" t="s">
        <v>12</v>
      </c>
      <c r="B10" s="0" t="n">
        <f aca="false">SUM(B5:B9)</f>
        <v>4550.3</v>
      </c>
      <c r="C10" s="0" t="n">
        <f aca="false">SUM(C5:C9)</f>
        <v>6010.508516</v>
      </c>
      <c r="E10" s="0" t="s">
        <v>17</v>
      </c>
      <c r="F10" s="0" t="n">
        <v>309.7</v>
      </c>
      <c r="G10" s="0" t="n">
        <v>309.7</v>
      </c>
      <c r="I10" s="0" t="s">
        <v>17</v>
      </c>
      <c r="J10" s="0" t="n">
        <v>420.5</v>
      </c>
      <c r="K10" s="0" t="n">
        <v>420.5</v>
      </c>
      <c r="M10" s="0" t="s">
        <v>18</v>
      </c>
      <c r="N10" s="0" t="n">
        <v>108</v>
      </c>
      <c r="O10" s="0" t="n">
        <v>108</v>
      </c>
      <c r="Q10" s="0" t="s">
        <v>16</v>
      </c>
      <c r="R10" s="0" t="n">
        <v>2.4</v>
      </c>
      <c r="S10" s="0" t="n">
        <v>2.4</v>
      </c>
    </row>
    <row r="11" customFormat="false" ht="13.8" hidden="false" customHeight="false" outlineLevel="0" collapsed="false">
      <c r="E11" s="0" t="s">
        <v>19</v>
      </c>
      <c r="F11" s="0" t="n">
        <v>86</v>
      </c>
      <c r="G11" s="0" t="n">
        <v>205</v>
      </c>
      <c r="I11" s="0" t="s">
        <v>19</v>
      </c>
      <c r="J11" s="0" t="n">
        <v>291</v>
      </c>
      <c r="K11" s="0" t="n">
        <v>291</v>
      </c>
      <c r="M11" s="0" t="s">
        <v>20</v>
      </c>
      <c r="N11" s="0" t="n">
        <v>261</v>
      </c>
      <c r="O11" s="0" t="n">
        <v>261</v>
      </c>
      <c r="Q11" s="0" t="s">
        <v>17</v>
      </c>
      <c r="R11" s="0" t="n">
        <v>27.9</v>
      </c>
      <c r="S11" s="0" t="n">
        <v>27.9</v>
      </c>
    </row>
    <row r="12" customFormat="false" ht="13.8" hidden="false" customHeight="false" outlineLevel="0" collapsed="false">
      <c r="E12" s="0" t="s">
        <v>15</v>
      </c>
      <c r="F12" s="0" t="n">
        <v>12</v>
      </c>
      <c r="G12" s="0" t="n">
        <v>275.5</v>
      </c>
      <c r="I12" s="0" t="s">
        <v>15</v>
      </c>
      <c r="J12" s="0" t="n">
        <v>8.4</v>
      </c>
      <c r="K12" s="0" t="n">
        <v>191.6</v>
      </c>
      <c r="M12" s="0" t="s">
        <v>15</v>
      </c>
      <c r="N12" s="0" t="n">
        <v>18.7</v>
      </c>
      <c r="O12" s="0" t="n">
        <v>428.5</v>
      </c>
      <c r="Q12" s="0" t="s">
        <v>15</v>
      </c>
      <c r="R12" s="2" t="n">
        <v>4.6</v>
      </c>
      <c r="S12" s="0" t="n">
        <v>106.5</v>
      </c>
    </row>
    <row r="15" customFormat="false" ht="13.8" hidden="false" customHeight="false" outlineLevel="0" collapsed="false">
      <c r="F15" s="1" t="s">
        <v>0</v>
      </c>
      <c r="G15" s="1"/>
      <c r="J15" s="1" t="s">
        <v>1</v>
      </c>
      <c r="K15" s="1"/>
      <c r="N15" s="1" t="s">
        <v>2</v>
      </c>
      <c r="O15" s="1"/>
      <c r="R15" s="1" t="s">
        <v>3</v>
      </c>
      <c r="S15" s="1"/>
      <c r="V15" s="1" t="s">
        <v>4</v>
      </c>
      <c r="W15" s="1"/>
    </row>
    <row r="16" customFormat="false" ht="13.8" hidden="false" customHeight="false" outlineLevel="0" collapsed="false">
      <c r="F16" s="0" t="n">
        <v>2025</v>
      </c>
      <c r="G16" s="0" t="n">
        <v>2050</v>
      </c>
      <c r="J16" s="0" t="n">
        <v>2025</v>
      </c>
      <c r="K16" s="0" t="n">
        <v>2050</v>
      </c>
      <c r="N16" s="0" t="n">
        <v>2025</v>
      </c>
      <c r="O16" s="0" t="n">
        <v>2050</v>
      </c>
      <c r="R16" s="0" t="n">
        <v>2025</v>
      </c>
      <c r="S16" s="0" t="n">
        <v>2050</v>
      </c>
      <c r="V16" s="0" t="n">
        <v>2025</v>
      </c>
      <c r="W16" s="0" t="n">
        <v>2050</v>
      </c>
    </row>
    <row r="17" customFormat="false" ht="13.8" hidden="false" customHeight="false" outlineLevel="0" collapsed="false">
      <c r="E17" s="0" t="s">
        <v>22</v>
      </c>
      <c r="F17" s="0" t="n">
        <f aca="false">SUM(F5:F6)</f>
        <v>50.3</v>
      </c>
      <c r="G17" s="0" t="n">
        <f aca="false">SUM(G5:G6)</f>
        <v>87.62135</v>
      </c>
      <c r="I17" s="0" t="s">
        <v>22</v>
      </c>
      <c r="J17" s="0" t="n">
        <v>419.8</v>
      </c>
      <c r="K17" s="0" t="n">
        <v>419.8</v>
      </c>
      <c r="M17" s="0" t="s">
        <v>22</v>
      </c>
      <c r="N17" s="0" t="n">
        <f aca="false">SUM(N5:N6)</f>
        <v>235</v>
      </c>
      <c r="O17" s="0" t="n">
        <f aca="false">SUM(O5:O6)</f>
        <v>371.025329</v>
      </c>
      <c r="Q17" s="0" t="s">
        <v>22</v>
      </c>
      <c r="R17" s="0" t="n">
        <f aca="false">SUM(R5:R6)</f>
        <v>36.2</v>
      </c>
      <c r="S17" s="0" t="n">
        <f aca="false">SUM(S5:S6)</f>
        <v>38.061837</v>
      </c>
    </row>
    <row r="18" customFormat="false" ht="13.8" hidden="false" customHeight="false" outlineLevel="0" collapsed="false">
      <c r="E18" s="0" t="s">
        <v>24</v>
      </c>
      <c r="F18" s="0" t="n">
        <v>15</v>
      </c>
      <c r="G18" s="0" t="n">
        <v>15</v>
      </c>
      <c r="I18" s="0" t="s">
        <v>25</v>
      </c>
      <c r="J18" s="0" t="n">
        <v>480</v>
      </c>
      <c r="K18" s="0" t="n">
        <v>480</v>
      </c>
      <c r="M18" s="0" t="s">
        <v>24</v>
      </c>
      <c r="N18" s="0" t="n">
        <v>84.3</v>
      </c>
      <c r="O18" s="0" t="n">
        <v>84.3</v>
      </c>
      <c r="Q18" s="0" t="s">
        <v>25</v>
      </c>
      <c r="R18" s="0" t="n">
        <v>508.5</v>
      </c>
      <c r="S18" s="0" t="n">
        <v>508.5</v>
      </c>
    </row>
    <row r="19" customFormat="false" ht="13.8" hidden="false" customHeight="false" outlineLevel="0" collapsed="false">
      <c r="E19" s="0" t="s">
        <v>23</v>
      </c>
      <c r="F19" s="0" t="n">
        <v>37.8</v>
      </c>
      <c r="G19" s="0" t="n">
        <v>37.8</v>
      </c>
      <c r="I19" s="0" t="s">
        <v>27</v>
      </c>
      <c r="J19" s="0" t="n">
        <f aca="false">SUM(J7:J8)</f>
        <v>100</v>
      </c>
      <c r="K19" s="0" t="n">
        <f aca="false">SUM(K7:K8)</f>
        <v>298</v>
      </c>
      <c r="M19" s="0" t="s">
        <v>25</v>
      </c>
      <c r="N19" s="0" t="n">
        <v>736</v>
      </c>
      <c r="O19" s="0" t="n">
        <v>736</v>
      </c>
      <c r="Q19" s="0" t="s">
        <v>27</v>
      </c>
      <c r="R19" s="0" t="n">
        <f aca="false">SUM(R9:R10)</f>
        <v>66.4</v>
      </c>
      <c r="S19" s="0" t="n">
        <f aca="false">SUM(S9:S10)</f>
        <v>66.4</v>
      </c>
    </row>
    <row r="20" customFormat="false" ht="13.8" hidden="false" customHeight="false" outlineLevel="0" collapsed="false">
      <c r="E20" s="0" t="s">
        <v>27</v>
      </c>
      <c r="F20" s="0" t="n">
        <v>120</v>
      </c>
      <c r="G20" s="0" t="n">
        <v>120</v>
      </c>
      <c r="I20" s="0" t="s">
        <v>26</v>
      </c>
      <c r="J20" s="0" t="n">
        <v>8.4</v>
      </c>
      <c r="K20" s="0" t="n">
        <v>191.6</v>
      </c>
      <c r="M20" s="0" t="s">
        <v>27</v>
      </c>
      <c r="N20" s="0" t="n">
        <v>20</v>
      </c>
      <c r="O20" s="0" t="n">
        <v>20</v>
      </c>
      <c r="Q20" s="0" t="s">
        <v>33</v>
      </c>
      <c r="R20" s="2" t="n">
        <v>4.6</v>
      </c>
      <c r="S20" s="0" t="n">
        <v>106.5</v>
      </c>
    </row>
    <row r="21" customFormat="false" ht="13.8" hidden="false" customHeight="false" outlineLevel="0" collapsed="false">
      <c r="E21" s="0" t="s">
        <v>26</v>
      </c>
      <c r="F21" s="0" t="n">
        <v>12</v>
      </c>
      <c r="G21" s="0" t="n">
        <v>275.5</v>
      </c>
      <c r="I21" s="0" t="s">
        <v>28</v>
      </c>
      <c r="J21" s="0" t="n">
        <v>27</v>
      </c>
      <c r="K21" s="0" t="n">
        <v>27</v>
      </c>
      <c r="M21" s="0" t="s">
        <v>26</v>
      </c>
      <c r="N21" s="0" t="n">
        <v>18.7</v>
      </c>
      <c r="O21" s="0" t="n">
        <v>428.5</v>
      </c>
      <c r="Q21" s="0" t="s">
        <v>30</v>
      </c>
      <c r="R21" s="0" t="n">
        <v>27.9</v>
      </c>
      <c r="S21" s="0" t="n">
        <v>27.9</v>
      </c>
    </row>
    <row r="22" customFormat="false" ht="13.8" hidden="false" customHeight="false" outlineLevel="0" collapsed="false">
      <c r="E22" s="0" t="s">
        <v>30</v>
      </c>
      <c r="F22" s="0" t="n">
        <f aca="false">SUM(F10:F11)</f>
        <v>395.7</v>
      </c>
      <c r="G22" s="0" t="n">
        <f aca="false">SUM(G10:G11)</f>
        <v>514.7</v>
      </c>
      <c r="I22" s="0" t="s">
        <v>30</v>
      </c>
      <c r="J22" s="0" t="n">
        <f aca="false">SUM(J10:J11)</f>
        <v>711.5</v>
      </c>
      <c r="K22" s="0" t="n">
        <f aca="false">SUM(K10:K11)</f>
        <v>711.5</v>
      </c>
      <c r="M22" s="0" t="s">
        <v>28</v>
      </c>
      <c r="N22" s="0" t="n">
        <f aca="false">SUM(N10:N11)</f>
        <v>369</v>
      </c>
      <c r="O22" s="0" t="n">
        <f aca="false">SUM(O10:O11)</f>
        <v>369</v>
      </c>
      <c r="Q22" s="0" t="s">
        <v>12</v>
      </c>
      <c r="R22" s="0" t="n">
        <f aca="false">SUM(R17:R21)</f>
        <v>643.6</v>
      </c>
      <c r="S22" s="0" t="n">
        <f aca="false">SUM(S17:S21)</f>
        <v>747.361837</v>
      </c>
    </row>
    <row r="23" customFormat="false" ht="13.8" hidden="false" customHeight="false" outlineLevel="0" collapsed="false">
      <c r="E23" s="0" t="s">
        <v>12</v>
      </c>
      <c r="F23" s="0" t="n">
        <f aca="false">SUM(F17:F22)</f>
        <v>630.8</v>
      </c>
      <c r="G23" s="0" t="n">
        <f aca="false">SUM(G17:G22)</f>
        <v>1050.62135</v>
      </c>
      <c r="I23" s="0" t="s">
        <v>12</v>
      </c>
      <c r="J23" s="0" t="n">
        <f aca="false">SUM(J17:J22)</f>
        <v>1746.7</v>
      </c>
      <c r="K23" s="0" t="n">
        <f aca="false">SUM(K17:K22)</f>
        <v>2127.9</v>
      </c>
      <c r="M23" s="0" t="s">
        <v>12</v>
      </c>
      <c r="N23" s="0" t="n">
        <f aca="false">SUM(N17:N22)</f>
        <v>1463</v>
      </c>
      <c r="O23" s="0" t="n">
        <f aca="false">SUM(O17:O22)</f>
        <v>2008.825329</v>
      </c>
    </row>
    <row r="26" customFormat="false" ht="13.8" hidden="false" customHeight="false" outlineLevel="0" collapsed="false">
      <c r="A26" s="0" t="s">
        <v>34</v>
      </c>
      <c r="F26" s="1" t="s">
        <v>0</v>
      </c>
      <c r="G26" s="1"/>
      <c r="J26" s="1" t="s">
        <v>1</v>
      </c>
      <c r="K26" s="1"/>
      <c r="N26" s="1" t="s">
        <v>2</v>
      </c>
      <c r="O26" s="1"/>
      <c r="R26" s="1" t="s">
        <v>3</v>
      </c>
      <c r="S26" s="1"/>
      <c r="V26" s="1" t="s">
        <v>4</v>
      </c>
      <c r="W26" s="1"/>
    </row>
    <row r="27" customFormat="false" ht="13.8" hidden="false" customHeight="false" outlineLevel="0" collapsed="false">
      <c r="F27" s="0" t="n">
        <v>2025</v>
      </c>
      <c r="G27" s="0" t="n">
        <v>2050</v>
      </c>
      <c r="J27" s="0" t="n">
        <v>2025</v>
      </c>
      <c r="K27" s="0" t="n">
        <v>2050</v>
      </c>
      <c r="N27" s="0" t="n">
        <v>2025</v>
      </c>
      <c r="O27" s="0" t="n">
        <v>2050</v>
      </c>
      <c r="R27" s="0" t="n">
        <v>2025</v>
      </c>
      <c r="S27" s="0" t="n">
        <v>2050</v>
      </c>
      <c r="V27" s="0" t="n">
        <v>2025</v>
      </c>
      <c r="W27" s="0" t="n">
        <v>2050</v>
      </c>
    </row>
    <row r="28" customFormat="false" ht="13.8" hidden="false" customHeight="false" outlineLevel="0" collapsed="false">
      <c r="B28" s="0" t="n">
        <v>2025</v>
      </c>
      <c r="C28" s="0" t="n">
        <v>2050</v>
      </c>
      <c r="E28" s="0" t="s">
        <v>6</v>
      </c>
      <c r="F28" s="0" t="n">
        <v>40</v>
      </c>
      <c r="G28" s="0" t="n">
        <v>40</v>
      </c>
      <c r="I28" s="0" t="s">
        <v>6</v>
      </c>
      <c r="J28" s="0" t="n">
        <v>50</v>
      </c>
      <c r="K28" s="0" t="n">
        <v>50</v>
      </c>
      <c r="M28" s="0" t="s">
        <v>6</v>
      </c>
      <c r="N28" s="0" t="n">
        <v>20</v>
      </c>
      <c r="O28" s="0" t="n">
        <v>20</v>
      </c>
      <c r="Q28" s="0" t="s">
        <v>6</v>
      </c>
      <c r="R28" s="0" t="n">
        <v>55</v>
      </c>
      <c r="S28" s="0" t="n">
        <v>55</v>
      </c>
      <c r="U28" s="0" t="s">
        <v>6</v>
      </c>
      <c r="V28" s="0" t="n">
        <v>6.5</v>
      </c>
      <c r="W28" s="0" t="n">
        <v>6.5</v>
      </c>
    </row>
    <row r="29" customFormat="false" ht="13.8" hidden="false" customHeight="false" outlineLevel="0" collapsed="false">
      <c r="A29" s="0" t="s">
        <v>0</v>
      </c>
      <c r="B29" s="0" t="n">
        <v>619.1</v>
      </c>
      <c r="C29" s="0" t="n">
        <v>802.5764</v>
      </c>
      <c r="E29" s="0" t="s">
        <v>7</v>
      </c>
      <c r="F29" s="0" t="n">
        <v>50.3</v>
      </c>
      <c r="G29" s="0" t="n">
        <v>50.3</v>
      </c>
      <c r="I29" s="0" t="s">
        <v>7</v>
      </c>
      <c r="J29" s="0" t="n">
        <v>419.8</v>
      </c>
      <c r="K29" s="0" t="n">
        <v>419.8</v>
      </c>
      <c r="M29" s="0" t="s">
        <v>7</v>
      </c>
      <c r="N29" s="0" t="n">
        <v>235</v>
      </c>
      <c r="O29" s="0" t="n">
        <v>235</v>
      </c>
      <c r="Q29" s="0" t="s">
        <v>7</v>
      </c>
      <c r="R29" s="0" t="n">
        <v>36.2</v>
      </c>
      <c r="S29" s="0" t="n">
        <v>36.2</v>
      </c>
      <c r="U29" s="0" t="s">
        <v>8</v>
      </c>
      <c r="V29" s="0" t="n">
        <v>65.8</v>
      </c>
      <c r="W29" s="0" t="n">
        <v>65.8</v>
      </c>
    </row>
    <row r="30" customFormat="false" ht="13.8" hidden="false" customHeight="false" outlineLevel="0" collapsed="false">
      <c r="A30" s="0" t="s">
        <v>9</v>
      </c>
      <c r="B30" s="0" t="n">
        <v>1738.5</v>
      </c>
      <c r="C30" s="0" t="n">
        <v>1955.5</v>
      </c>
      <c r="E30" s="0" t="s">
        <v>32</v>
      </c>
      <c r="F30" s="0" t="n">
        <v>0</v>
      </c>
      <c r="G30" s="0" t="n">
        <v>37.2764</v>
      </c>
      <c r="I30" s="0" t="s">
        <v>11</v>
      </c>
      <c r="J30" s="0" t="n">
        <v>480</v>
      </c>
      <c r="K30" s="0" t="n">
        <v>480</v>
      </c>
      <c r="M30" s="0" t="s">
        <v>32</v>
      </c>
      <c r="N30" s="0" t="n">
        <v>0</v>
      </c>
      <c r="O30" s="0" t="n">
        <v>136.081683</v>
      </c>
      <c r="Q30" s="0" t="s">
        <v>32</v>
      </c>
      <c r="R30" s="0" t="n">
        <v>0</v>
      </c>
      <c r="S30" s="0" t="n">
        <v>1.863667</v>
      </c>
      <c r="U30" s="0" t="s">
        <v>15</v>
      </c>
      <c r="V30" s="0" t="n">
        <v>0</v>
      </c>
      <c r="W30" s="0" t="n">
        <v>1</v>
      </c>
    </row>
    <row r="31" customFormat="false" ht="13.8" hidden="false" customHeight="false" outlineLevel="0" collapsed="false">
      <c r="A31" s="0" t="s">
        <v>13</v>
      </c>
      <c r="B31" s="0" t="n">
        <v>1444.8</v>
      </c>
      <c r="C31" s="0" t="n">
        <v>1623.281683</v>
      </c>
      <c r="E31" s="0" t="s">
        <v>10</v>
      </c>
      <c r="F31" s="0" t="n">
        <v>15</v>
      </c>
      <c r="G31" s="0" t="n">
        <v>15</v>
      </c>
      <c r="I31" s="0" t="s">
        <v>14</v>
      </c>
      <c r="J31" s="0" t="n">
        <v>100</v>
      </c>
      <c r="K31" s="0" t="n">
        <v>100</v>
      </c>
      <c r="M31" s="0" t="s">
        <v>10</v>
      </c>
      <c r="N31" s="0" t="n">
        <v>84.3</v>
      </c>
      <c r="O31" s="0" t="n">
        <v>84.3</v>
      </c>
      <c r="Q31" s="0" t="s">
        <v>8</v>
      </c>
      <c r="R31" s="0" t="n">
        <v>0</v>
      </c>
      <c r="S31" s="0" t="n">
        <v>0</v>
      </c>
    </row>
    <row r="32" customFormat="false" ht="13.8" hidden="false" customHeight="false" outlineLevel="0" collapsed="false">
      <c r="A32" s="0" t="s">
        <v>3</v>
      </c>
      <c r="B32" s="0" t="n">
        <v>639.1</v>
      </c>
      <c r="C32" s="0" t="n">
        <v>651.463667</v>
      </c>
      <c r="E32" s="0" t="s">
        <v>8</v>
      </c>
      <c r="F32" s="0" t="n">
        <v>37.8</v>
      </c>
      <c r="G32" s="0" t="n">
        <v>37.8</v>
      </c>
      <c r="I32" s="0" t="s">
        <v>16</v>
      </c>
      <c r="J32" s="0" t="n">
        <v>0</v>
      </c>
      <c r="K32" s="0" t="n">
        <v>198</v>
      </c>
      <c r="M32" s="0" t="s">
        <v>11</v>
      </c>
      <c r="N32" s="0" t="n">
        <v>736</v>
      </c>
      <c r="O32" s="0" t="n">
        <v>736</v>
      </c>
      <c r="Q32" s="0" t="s">
        <v>11</v>
      </c>
      <c r="R32" s="0" t="n">
        <v>508.5</v>
      </c>
      <c r="S32" s="0" t="n">
        <v>508.5</v>
      </c>
    </row>
    <row r="33" customFormat="false" ht="13.8" hidden="false" customHeight="false" outlineLevel="0" collapsed="false">
      <c r="A33" s="0" t="s">
        <v>4</v>
      </c>
      <c r="B33" s="0" t="n">
        <v>65.8</v>
      </c>
      <c r="C33" s="0" t="n">
        <v>66.8</v>
      </c>
      <c r="E33" s="0" t="s">
        <v>16</v>
      </c>
      <c r="F33" s="0" t="n">
        <v>120</v>
      </c>
      <c r="G33" s="0" t="n">
        <v>120</v>
      </c>
      <c r="I33" s="0" t="s">
        <v>18</v>
      </c>
      <c r="J33" s="0" t="n">
        <v>27</v>
      </c>
      <c r="K33" s="0" t="n">
        <v>27</v>
      </c>
      <c r="M33" s="0" t="s">
        <v>16</v>
      </c>
      <c r="N33" s="0" t="n">
        <v>20</v>
      </c>
      <c r="O33" s="0" t="n">
        <v>20</v>
      </c>
      <c r="Q33" s="0" t="s">
        <v>14</v>
      </c>
      <c r="R33" s="0" t="n">
        <v>64</v>
      </c>
      <c r="S33" s="0" t="n">
        <v>64</v>
      </c>
    </row>
    <row r="34" customFormat="false" ht="13.8" hidden="false" customHeight="false" outlineLevel="0" collapsed="false">
      <c r="B34" s="0" t="n">
        <f aca="false">SUM(B29:B33)</f>
        <v>4507.3</v>
      </c>
      <c r="C34" s="0" t="n">
        <f aca="false">SUM(C29:C33)</f>
        <v>5099.62175</v>
      </c>
      <c r="E34" s="0" t="s">
        <v>17</v>
      </c>
      <c r="F34" s="0" t="n">
        <v>309.7</v>
      </c>
      <c r="G34" s="0" t="n">
        <v>309.7</v>
      </c>
      <c r="I34" s="0" t="s">
        <v>17</v>
      </c>
      <c r="J34" s="0" t="n">
        <v>420.5</v>
      </c>
      <c r="K34" s="0" t="n">
        <v>420.5</v>
      </c>
      <c r="M34" s="0" t="s">
        <v>18</v>
      </c>
      <c r="N34" s="0" t="n">
        <v>108</v>
      </c>
      <c r="O34" s="0" t="n">
        <v>108</v>
      </c>
      <c r="Q34" s="0" t="s">
        <v>16</v>
      </c>
      <c r="R34" s="0" t="n">
        <v>2.4</v>
      </c>
      <c r="S34" s="0" t="n">
        <v>2.4</v>
      </c>
    </row>
    <row r="35" customFormat="false" ht="13.8" hidden="false" customHeight="false" outlineLevel="0" collapsed="false">
      <c r="E35" s="0" t="s">
        <v>19</v>
      </c>
      <c r="F35" s="0" t="n">
        <v>86</v>
      </c>
      <c r="G35" s="0" t="n">
        <v>205</v>
      </c>
      <c r="I35" s="0" t="s">
        <v>19</v>
      </c>
      <c r="J35" s="0" t="n">
        <v>291</v>
      </c>
      <c r="K35" s="0" t="n">
        <v>291</v>
      </c>
      <c r="M35" s="0" t="s">
        <v>20</v>
      </c>
      <c r="N35" s="0" t="n">
        <v>261</v>
      </c>
      <c r="O35" s="0" t="n">
        <v>261</v>
      </c>
      <c r="Q35" s="0" t="s">
        <v>17</v>
      </c>
      <c r="R35" s="0" t="n">
        <v>27.9</v>
      </c>
      <c r="S35" s="0" t="n">
        <v>27.9</v>
      </c>
    </row>
    <row r="36" customFormat="false" ht="13.8" hidden="false" customHeight="false" outlineLevel="0" collapsed="false">
      <c r="E36" s="0" t="s">
        <v>15</v>
      </c>
      <c r="F36" s="0" t="n">
        <v>0.3</v>
      </c>
      <c r="G36" s="0" t="n">
        <v>27.5</v>
      </c>
      <c r="I36" s="0" t="s">
        <v>15</v>
      </c>
      <c r="J36" s="0" t="n">
        <v>0.2</v>
      </c>
      <c r="K36" s="0" t="n">
        <v>19.2</v>
      </c>
      <c r="M36" s="0" t="s">
        <v>15</v>
      </c>
      <c r="N36" s="0" t="n">
        <v>0.5</v>
      </c>
      <c r="O36" s="0" t="n">
        <v>42.9</v>
      </c>
      <c r="Q36" s="0" t="s">
        <v>15</v>
      </c>
      <c r="R36" s="0" t="n">
        <v>0.1</v>
      </c>
      <c r="S36" s="0" t="n">
        <v>10.6</v>
      </c>
    </row>
    <row r="39" customFormat="false" ht="13.8" hidden="false" customHeight="false" outlineLevel="0" collapsed="false">
      <c r="F39" s="1" t="s">
        <v>0</v>
      </c>
      <c r="G39" s="1"/>
      <c r="J39" s="1" t="s">
        <v>1</v>
      </c>
      <c r="K39" s="1"/>
      <c r="N39" s="1" t="s">
        <v>2</v>
      </c>
      <c r="O39" s="1"/>
      <c r="R39" s="1" t="s">
        <v>3</v>
      </c>
      <c r="S39" s="1"/>
      <c r="V39" s="1" t="s">
        <v>4</v>
      </c>
      <c r="W39" s="1"/>
    </row>
    <row r="40" customFormat="false" ht="13.8" hidden="false" customHeight="false" outlineLevel="0" collapsed="false">
      <c r="F40" s="0" t="n">
        <v>2025</v>
      </c>
      <c r="G40" s="0" t="n">
        <v>2050</v>
      </c>
      <c r="J40" s="0" t="n">
        <v>2025</v>
      </c>
      <c r="K40" s="0" t="n">
        <v>2050</v>
      </c>
      <c r="N40" s="0" t="n">
        <v>2025</v>
      </c>
      <c r="O40" s="0" t="n">
        <v>2050</v>
      </c>
      <c r="R40" s="0" t="n">
        <v>2025</v>
      </c>
      <c r="S40" s="0" t="n">
        <v>2050</v>
      </c>
      <c r="V40" s="0" t="n">
        <v>2025</v>
      </c>
      <c r="W40" s="0" t="n">
        <v>2050</v>
      </c>
    </row>
    <row r="41" customFormat="false" ht="13.8" hidden="false" customHeight="false" outlineLevel="0" collapsed="false">
      <c r="E41" s="0" t="s">
        <v>22</v>
      </c>
      <c r="F41" s="0" t="n">
        <f aca="false">SUM(F29:F30)</f>
        <v>50.3</v>
      </c>
      <c r="G41" s="0" t="n">
        <f aca="false">SUM(G29:G30)</f>
        <v>87.5764</v>
      </c>
      <c r="I41" s="0" t="s">
        <v>22</v>
      </c>
      <c r="J41" s="0" t="n">
        <v>419.8</v>
      </c>
      <c r="K41" s="0" t="n">
        <v>419.8</v>
      </c>
      <c r="M41" s="0" t="s">
        <v>22</v>
      </c>
      <c r="N41" s="0" t="n">
        <f aca="false">SUM(N29:N30)</f>
        <v>235</v>
      </c>
      <c r="O41" s="0" t="n">
        <f aca="false">SUM(O29:O30)</f>
        <v>371.081683</v>
      </c>
      <c r="Q41" s="0" t="s">
        <v>22</v>
      </c>
      <c r="R41" s="0" t="n">
        <f aca="false">SUM(R29:R30)</f>
        <v>36.2</v>
      </c>
      <c r="S41" s="0" t="n">
        <f aca="false">SUM(S29:S30)</f>
        <v>38.063667</v>
      </c>
      <c r="U41" s="0" t="s">
        <v>23</v>
      </c>
      <c r="V41" s="0" t="n">
        <v>65.8</v>
      </c>
      <c r="W41" s="0" t="n">
        <v>65.8</v>
      </c>
    </row>
    <row r="42" customFormat="false" ht="13.8" hidden="false" customHeight="false" outlineLevel="0" collapsed="false">
      <c r="E42" s="0" t="s">
        <v>24</v>
      </c>
      <c r="F42" s="0" t="n">
        <v>15</v>
      </c>
      <c r="G42" s="0" t="n">
        <v>15</v>
      </c>
      <c r="I42" s="0" t="s">
        <v>25</v>
      </c>
      <c r="J42" s="0" t="n">
        <v>480</v>
      </c>
      <c r="K42" s="0" t="n">
        <v>480</v>
      </c>
      <c r="M42" s="0" t="s">
        <v>24</v>
      </c>
      <c r="N42" s="0" t="n">
        <v>84.3</v>
      </c>
      <c r="O42" s="0" t="n">
        <v>84.3</v>
      </c>
      <c r="Q42" s="0" t="s">
        <v>25</v>
      </c>
      <c r="R42" s="0" t="n">
        <v>508.5</v>
      </c>
      <c r="S42" s="0" t="n">
        <v>508.5</v>
      </c>
      <c r="U42" s="0" t="s">
        <v>15</v>
      </c>
    </row>
    <row r="43" customFormat="false" ht="13.8" hidden="false" customHeight="false" outlineLevel="0" collapsed="false">
      <c r="E43" s="0" t="s">
        <v>23</v>
      </c>
      <c r="F43" s="0" t="n">
        <v>37.8</v>
      </c>
      <c r="G43" s="0" t="n">
        <v>37.8</v>
      </c>
      <c r="I43" s="0" t="s">
        <v>27</v>
      </c>
      <c r="J43" s="0" t="n">
        <f aca="false">SUM(J31:J32)</f>
        <v>100</v>
      </c>
      <c r="K43" s="0" t="n">
        <f aca="false">SUM(K31:K32)</f>
        <v>298</v>
      </c>
      <c r="M43" s="0" t="s">
        <v>25</v>
      </c>
      <c r="N43" s="0" t="n">
        <v>736</v>
      </c>
      <c r="O43" s="0" t="n">
        <v>736</v>
      </c>
      <c r="Q43" s="0" t="s">
        <v>27</v>
      </c>
      <c r="R43" s="0" t="n">
        <f aca="false">SUM(R33:R34)</f>
        <v>66.4</v>
      </c>
      <c r="S43" s="0" t="n">
        <f aca="false">SUM(S33:S34)</f>
        <v>66.4</v>
      </c>
    </row>
    <row r="44" customFormat="false" ht="13.8" hidden="false" customHeight="false" outlineLevel="0" collapsed="false">
      <c r="E44" s="0" t="s">
        <v>27</v>
      </c>
      <c r="F44" s="0" t="n">
        <v>120</v>
      </c>
      <c r="G44" s="0" t="n">
        <v>120</v>
      </c>
      <c r="I44" s="0" t="s">
        <v>28</v>
      </c>
      <c r="J44" s="0" t="n">
        <v>27</v>
      </c>
      <c r="K44" s="0" t="n">
        <v>27</v>
      </c>
      <c r="M44" s="0" t="s">
        <v>27</v>
      </c>
      <c r="N44" s="0" t="n">
        <v>20</v>
      </c>
      <c r="O44" s="0" t="n">
        <v>20</v>
      </c>
      <c r="Q44" s="0" t="s">
        <v>30</v>
      </c>
      <c r="R44" s="0" t="n">
        <v>27.9</v>
      </c>
      <c r="S44" s="0" t="n">
        <v>27.9</v>
      </c>
    </row>
    <row r="45" customFormat="false" ht="13.8" hidden="false" customHeight="false" outlineLevel="0" collapsed="false">
      <c r="E45" s="0" t="s">
        <v>30</v>
      </c>
      <c r="F45" s="0" t="n">
        <f aca="false">SUM(F34:F35)</f>
        <v>395.7</v>
      </c>
      <c r="G45" s="0" t="n">
        <f aca="false">SUM(G34:G35)</f>
        <v>514.7</v>
      </c>
      <c r="I45" s="0" t="s">
        <v>30</v>
      </c>
      <c r="J45" s="0" t="n">
        <f aca="false">SUM(J34:J35)</f>
        <v>711.5</v>
      </c>
      <c r="K45" s="0" t="n">
        <f aca="false">SUM(K34:K35)</f>
        <v>711.5</v>
      </c>
      <c r="M45" s="0" t="s">
        <v>28</v>
      </c>
      <c r="N45" s="0" t="n">
        <f aca="false">SUM(N34:N35)</f>
        <v>369</v>
      </c>
      <c r="O45" s="0" t="n">
        <f aca="false">SUM(O34:O35)</f>
        <v>369</v>
      </c>
      <c r="Q45" s="0" t="s">
        <v>15</v>
      </c>
      <c r="R45" s="0" t="n">
        <v>0.1</v>
      </c>
      <c r="S45" s="0" t="n">
        <v>10.6</v>
      </c>
    </row>
    <row r="46" customFormat="false" ht="13.8" hidden="false" customHeight="false" outlineLevel="0" collapsed="false">
      <c r="E46" s="0" t="s">
        <v>15</v>
      </c>
      <c r="F46" s="0" t="n">
        <v>0.3</v>
      </c>
      <c r="G46" s="0" t="n">
        <v>27.5</v>
      </c>
      <c r="I46" s="0" t="s">
        <v>15</v>
      </c>
      <c r="J46" s="0" t="n">
        <v>0.2</v>
      </c>
      <c r="K46" s="0" t="n">
        <v>19.2</v>
      </c>
      <c r="M46" s="0" t="s">
        <v>15</v>
      </c>
      <c r="N46" s="0" t="n">
        <v>0.5</v>
      </c>
      <c r="O46" s="0" t="n">
        <v>42.9</v>
      </c>
      <c r="Q46" s="0" t="s">
        <v>12</v>
      </c>
      <c r="R46" s="0" t="n">
        <f aca="false">SUM(R41:R45)</f>
        <v>639.1</v>
      </c>
      <c r="S46" s="0" t="n">
        <f aca="false">SUM(S41:S45)</f>
        <v>651.463667</v>
      </c>
    </row>
    <row r="47" customFormat="false" ht="13.8" hidden="false" customHeight="false" outlineLevel="0" collapsed="false">
      <c r="E47" s="0" t="s">
        <v>12</v>
      </c>
      <c r="F47" s="0" t="n">
        <f aca="false">SUM(F41:F46)</f>
        <v>619.1</v>
      </c>
      <c r="G47" s="0" t="n">
        <f aca="false">SUM(G41:G46)</f>
        <v>802.5764</v>
      </c>
      <c r="I47" s="0" t="s">
        <v>12</v>
      </c>
      <c r="J47" s="0" t="n">
        <f aca="false">SUM(J41:J46)</f>
        <v>1738.5</v>
      </c>
      <c r="K47" s="0" t="n">
        <f aca="false">SUM(K41:K46)</f>
        <v>1955.5</v>
      </c>
      <c r="M47" s="0" t="s">
        <v>12</v>
      </c>
      <c r="N47" s="0" t="n">
        <f aca="false">SUM(N41:N46)</f>
        <v>1444.8</v>
      </c>
      <c r="O47" s="0" t="n">
        <f aca="false">SUM(O41:O46)</f>
        <v>1623.281683</v>
      </c>
    </row>
  </sheetData>
  <mergeCells count="20">
    <mergeCell ref="F3:G3"/>
    <mergeCell ref="J3:K3"/>
    <mergeCell ref="N3:O3"/>
    <mergeCell ref="R3:S3"/>
    <mergeCell ref="V3:W3"/>
    <mergeCell ref="F15:G15"/>
    <mergeCell ref="J15:K15"/>
    <mergeCell ref="N15:O15"/>
    <mergeCell ref="R15:S15"/>
    <mergeCell ref="V15:W15"/>
    <mergeCell ref="F26:G26"/>
    <mergeCell ref="J26:K26"/>
    <mergeCell ref="N26:O26"/>
    <mergeCell ref="R26:S26"/>
    <mergeCell ref="V26:W26"/>
    <mergeCell ref="F39:G39"/>
    <mergeCell ref="J39:K39"/>
    <mergeCell ref="N39:O39"/>
    <mergeCell ref="R39:S39"/>
    <mergeCell ref="V39:W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53"/>
  <sheetViews>
    <sheetView showFormulas="false" showGridLines="true" showRowColHeaders="true" showZeros="true" rightToLeft="false" tabSelected="true" showOutlineSymbols="true" defaultGridColor="true" view="normal" topLeftCell="F13" colorId="64" zoomScale="100" zoomScaleNormal="100" zoomScalePageLayoutView="100" workbookViewId="0">
      <selection pane="topLeft" activeCell="T46" activeCellId="0" sqref="T46"/>
    </sheetView>
  </sheetViews>
  <sheetFormatPr defaultColWidth="10.7421875" defaultRowHeight="13.8" zeroHeight="false" outlineLevelRow="0" outlineLevelCol="0"/>
  <sheetData>
    <row r="1" customFormat="false" ht="13.8" hidden="false" customHeight="false" outlineLevel="0" collapsed="false">
      <c r="A1" s="0" t="s">
        <v>35</v>
      </c>
      <c r="G1" s="1" t="s">
        <v>0</v>
      </c>
      <c r="H1" s="1"/>
      <c r="K1" s="1" t="s">
        <v>1</v>
      </c>
      <c r="L1" s="1"/>
      <c r="O1" s="1" t="s">
        <v>2</v>
      </c>
      <c r="P1" s="1"/>
      <c r="S1" s="1" t="s">
        <v>3</v>
      </c>
      <c r="T1" s="1"/>
      <c r="W1" s="1" t="s">
        <v>4</v>
      </c>
      <c r="X1" s="1"/>
    </row>
    <row r="2" customFormat="false" ht="13.8" hidden="false" customHeight="false" outlineLevel="0" collapsed="false">
      <c r="G2" s="4" t="n">
        <v>2025</v>
      </c>
      <c r="H2" s="0" t="n">
        <v>2050</v>
      </c>
      <c r="K2" s="4" t="n">
        <v>2025</v>
      </c>
      <c r="L2" s="0" t="n">
        <v>2050</v>
      </c>
      <c r="O2" s="0" t="n">
        <v>2025</v>
      </c>
      <c r="P2" s="0" t="n">
        <v>2050</v>
      </c>
      <c r="S2" s="0" t="n">
        <v>2025</v>
      </c>
      <c r="T2" s="0" t="n">
        <v>2050</v>
      </c>
      <c r="W2" s="4" t="n">
        <v>2025</v>
      </c>
      <c r="X2" s="4" t="n">
        <v>2050</v>
      </c>
    </row>
    <row r="3" customFormat="false" ht="13.8" hidden="false" customHeight="false" outlineLevel="0" collapsed="false">
      <c r="B3" s="0" t="s">
        <v>5</v>
      </c>
      <c r="C3" s="0" t="n">
        <v>2025</v>
      </c>
      <c r="D3" s="0" t="n">
        <v>2050</v>
      </c>
      <c r="F3" s="0" t="s">
        <v>6</v>
      </c>
      <c r="G3" s="2" t="n">
        <v>0</v>
      </c>
      <c r="H3" s="0" t="n">
        <v>0</v>
      </c>
      <c r="J3" s="0" t="s">
        <v>7</v>
      </c>
      <c r="K3" s="2" t="n">
        <v>0</v>
      </c>
      <c r="L3" s="0" t="n">
        <v>623.672736452092</v>
      </c>
      <c r="N3" s="0" t="s">
        <v>7</v>
      </c>
      <c r="O3" s="0" t="n">
        <v>0</v>
      </c>
      <c r="P3" s="0" t="n">
        <v>883.660285702584</v>
      </c>
      <c r="R3" s="0" t="s">
        <v>7</v>
      </c>
      <c r="S3" s="0" t="n">
        <v>0</v>
      </c>
      <c r="T3" s="0" t="n">
        <v>119.405317496214</v>
      </c>
      <c r="V3" s="0" t="s">
        <v>8</v>
      </c>
      <c r="W3" s="5" t="n">
        <v>81.4709181469308</v>
      </c>
      <c r="X3" s="6" t="n">
        <v>132.124556868084</v>
      </c>
    </row>
    <row r="4" customFormat="false" ht="13.8" hidden="false" customHeight="false" outlineLevel="0" collapsed="false">
      <c r="B4" s="0" t="s">
        <v>0</v>
      </c>
      <c r="C4" s="7" t="n">
        <v>2003.33681190689</v>
      </c>
      <c r="D4" s="7" t="n">
        <v>3536.14483098574</v>
      </c>
      <c r="F4" s="0" t="s">
        <v>7</v>
      </c>
      <c r="G4" s="2" t="n">
        <v>9.58579185338433</v>
      </c>
      <c r="H4" s="0" t="n">
        <v>32.223211573568</v>
      </c>
      <c r="J4" s="0" t="s">
        <v>11</v>
      </c>
      <c r="K4" s="2" t="n">
        <v>255.227434040331</v>
      </c>
      <c r="L4" s="0" t="n">
        <v>1943.9790631548</v>
      </c>
      <c r="N4" s="0" t="s">
        <v>32</v>
      </c>
      <c r="O4" s="0" t="n">
        <v>0</v>
      </c>
      <c r="P4" s="0" t="n">
        <v>823.075334659184</v>
      </c>
      <c r="R4" s="0" t="s">
        <v>32</v>
      </c>
      <c r="S4" s="0" t="n">
        <v>0</v>
      </c>
      <c r="T4" s="0" t="n">
        <v>8.57264311199838</v>
      </c>
      <c r="V4" s="4" t="s">
        <v>12</v>
      </c>
      <c r="W4" s="8" t="n">
        <v>81.4709181469308</v>
      </c>
      <c r="X4" s="8" t="n">
        <v>132.124556868084</v>
      </c>
    </row>
    <row r="5" customFormat="false" ht="13.8" hidden="false" customHeight="false" outlineLevel="0" collapsed="false">
      <c r="B5" s="0" t="s">
        <v>9</v>
      </c>
      <c r="C5" s="7" t="n">
        <v>2852.11633806797</v>
      </c>
      <c r="D5" s="7" t="n">
        <v>6471.00008640109</v>
      </c>
      <c r="F5" s="0" t="s">
        <v>32</v>
      </c>
      <c r="G5" s="2" t="n">
        <v>0</v>
      </c>
      <c r="H5" s="0" t="n">
        <v>37.0824921139811</v>
      </c>
      <c r="J5" s="0" t="s">
        <v>14</v>
      </c>
      <c r="K5" s="2" t="n">
        <v>104.93616070758</v>
      </c>
      <c r="L5" s="0" t="n">
        <v>208.968034770077</v>
      </c>
      <c r="N5" s="0" t="s">
        <v>10</v>
      </c>
      <c r="O5" s="0" t="n">
        <v>246.04910119601</v>
      </c>
      <c r="P5" s="0" t="n">
        <v>228.796841384856</v>
      </c>
      <c r="R5" s="0" t="s">
        <v>8</v>
      </c>
      <c r="S5" s="0" t="n">
        <v>0</v>
      </c>
      <c r="T5" s="0" t="n">
        <v>0</v>
      </c>
    </row>
    <row r="6" customFormat="false" ht="13.8" hidden="false" customHeight="false" outlineLevel="0" collapsed="false">
      <c r="B6" s="0" t="s">
        <v>13</v>
      </c>
      <c r="C6" s="7" t="n">
        <v>4542.2129657529</v>
      </c>
      <c r="D6" s="7" t="n">
        <v>8442.01513417073</v>
      </c>
      <c r="F6" s="0" t="s">
        <v>10</v>
      </c>
      <c r="G6" s="2" t="n">
        <v>15.629174084</v>
      </c>
      <c r="H6" s="0" t="n">
        <v>34.4443474725</v>
      </c>
      <c r="J6" s="0" t="s">
        <v>16</v>
      </c>
      <c r="K6" s="2" t="n">
        <v>0</v>
      </c>
      <c r="L6" s="0" t="n">
        <v>288.300420880836</v>
      </c>
      <c r="N6" s="0" t="s">
        <v>11</v>
      </c>
      <c r="O6" s="0" t="n">
        <v>2953.86014564088</v>
      </c>
      <c r="P6" s="0" t="n">
        <v>4510.82661750809</v>
      </c>
      <c r="R6" s="0" t="s">
        <v>11</v>
      </c>
      <c r="S6" s="0" t="n">
        <v>1620.78868986461</v>
      </c>
      <c r="T6" s="0" t="n">
        <v>2878.58664948584</v>
      </c>
    </row>
    <row r="7" customFormat="false" ht="13.8" hidden="false" customHeight="false" outlineLevel="0" collapsed="false">
      <c r="B7" s="0" t="s">
        <v>3</v>
      </c>
      <c r="C7" s="7" t="n">
        <v>1903.67607886088</v>
      </c>
      <c r="D7" s="7" t="n">
        <v>3499.40512860231</v>
      </c>
      <c r="F7" s="0" t="s">
        <v>8</v>
      </c>
      <c r="G7" s="2" t="n">
        <v>65.8322346805004</v>
      </c>
      <c r="H7" s="0" t="n">
        <v>221.770171446666</v>
      </c>
      <c r="J7" s="0" t="s">
        <v>18</v>
      </c>
      <c r="K7" s="2" t="n">
        <v>63.173228589</v>
      </c>
      <c r="L7" s="0" t="n">
        <v>88.878416328</v>
      </c>
      <c r="N7" s="0" t="s">
        <v>16</v>
      </c>
      <c r="O7" s="0" t="n">
        <v>41.7936069540154</v>
      </c>
      <c r="P7" s="0" t="n">
        <v>41.7936069540154</v>
      </c>
      <c r="R7" s="0" t="s">
        <v>14</v>
      </c>
      <c r="S7" s="0" t="n">
        <v>133.739542252849</v>
      </c>
      <c r="T7" s="0" t="n">
        <v>133.739542252849</v>
      </c>
    </row>
    <row r="8" customFormat="false" ht="13.8" hidden="false" customHeight="false" outlineLevel="0" collapsed="false">
      <c r="B8" s="0" t="s">
        <v>4</v>
      </c>
      <c r="C8" s="7" t="n">
        <v>82.0280541469308</v>
      </c>
      <c r="D8" s="7" t="n">
        <v>146.052956868084</v>
      </c>
      <c r="F8" s="0" t="s">
        <v>16</v>
      </c>
      <c r="G8" s="2" t="n">
        <v>170.785756825193</v>
      </c>
      <c r="H8" s="0" t="n">
        <v>228.004771984536</v>
      </c>
      <c r="J8" s="0" t="s">
        <v>17</v>
      </c>
      <c r="K8" s="5" t="n">
        <v>1319.01174192389</v>
      </c>
      <c r="L8" s="0" t="n">
        <v>1546.83405188559</v>
      </c>
      <c r="N8" s="0" t="s">
        <v>18</v>
      </c>
      <c r="O8" s="0" t="n">
        <v>355.513665312</v>
      </c>
      <c r="P8" s="0" t="n">
        <v>355.513665312</v>
      </c>
      <c r="R8" s="0" t="s">
        <v>16</v>
      </c>
      <c r="S8" s="0" t="n">
        <v>5.01523283448184</v>
      </c>
      <c r="T8" s="0" t="n">
        <v>5.01523283448184</v>
      </c>
    </row>
    <row r="9" customFormat="false" ht="13.8" hidden="false" customHeight="false" outlineLevel="0" collapsed="false">
      <c r="B9" s="0" t="s">
        <v>12</v>
      </c>
      <c r="C9" s="0" t="n">
        <f aca="false">SUM(C4:C8)</f>
        <v>11383.3702487356</v>
      </c>
      <c r="D9" s="0" t="n">
        <f aca="false">SUM(D4:D8)</f>
        <v>22094.6181370279</v>
      </c>
      <c r="F9" s="0" t="s">
        <v>17</v>
      </c>
      <c r="G9" s="9" t="n">
        <v>1379.63924888568</v>
      </c>
      <c r="H9" s="0" t="n">
        <v>1499.01278512099</v>
      </c>
      <c r="J9" s="0" t="s">
        <v>19</v>
      </c>
      <c r="K9" s="5" t="n">
        <v>1093.90306240717</v>
      </c>
      <c r="L9" s="0" t="n">
        <v>1408.5008733297</v>
      </c>
      <c r="N9" s="0" t="s">
        <v>20</v>
      </c>
      <c r="O9" s="0" t="n">
        <v>915.18266265</v>
      </c>
      <c r="P9" s="0" t="n">
        <v>915.18266265</v>
      </c>
      <c r="R9" s="0" t="s">
        <v>17</v>
      </c>
      <c r="S9" s="0" t="n">
        <v>135.04183630893</v>
      </c>
      <c r="T9" s="0" t="n">
        <v>135.04183630893</v>
      </c>
    </row>
    <row r="10" customFormat="false" ht="13.8" hidden="false" customHeight="false" outlineLevel="0" collapsed="false">
      <c r="F10" s="0" t="s">
        <v>19</v>
      </c>
      <c r="G10" s="2" t="n">
        <v>340.462173578126</v>
      </c>
      <c r="H10" s="0" t="n">
        <v>992.2428832735</v>
      </c>
    </row>
    <row r="11" customFormat="false" ht="13.8" hidden="false" customHeight="false" outlineLevel="0" collapsed="false">
      <c r="F11" s="4"/>
    </row>
    <row r="14" customFormat="false" ht="13.8" hidden="false" customHeight="false" outlineLevel="0" collapsed="false">
      <c r="G14" s="1" t="s">
        <v>0</v>
      </c>
      <c r="H14" s="1"/>
      <c r="K14" s="1" t="s">
        <v>1</v>
      </c>
      <c r="L14" s="1"/>
      <c r="O14" s="1" t="s">
        <v>2</v>
      </c>
      <c r="P14" s="1"/>
      <c r="S14" s="1" t="s">
        <v>3</v>
      </c>
      <c r="T14" s="1"/>
      <c r="W14" s="1" t="s">
        <v>4</v>
      </c>
      <c r="X14" s="1"/>
    </row>
    <row r="15" customFormat="false" ht="13.8" hidden="false" customHeight="false" outlineLevel="0" collapsed="false">
      <c r="G15" s="4" t="n">
        <v>2025</v>
      </c>
      <c r="H15" s="0" t="n">
        <v>2050</v>
      </c>
      <c r="K15" s="4" t="n">
        <v>2025</v>
      </c>
      <c r="L15" s="0" t="n">
        <v>2050</v>
      </c>
      <c r="O15" s="0" t="n">
        <v>2025</v>
      </c>
      <c r="P15" s="0" t="n">
        <v>2050</v>
      </c>
      <c r="S15" s="0" t="n">
        <v>2025</v>
      </c>
      <c r="T15" s="0" t="n">
        <v>2050</v>
      </c>
      <c r="W15" s="4" t="n">
        <v>2025</v>
      </c>
      <c r="X15" s="4" t="n">
        <v>2050</v>
      </c>
    </row>
    <row r="16" customFormat="false" ht="13.8" hidden="false" customHeight="false" outlineLevel="0" collapsed="false">
      <c r="F16" s="7" t="s">
        <v>22</v>
      </c>
      <c r="G16" s="7" t="n">
        <f aca="false">SUM(G4:G5)</f>
        <v>9.58579185338433</v>
      </c>
      <c r="H16" s="7" t="n">
        <f aca="false">SUM(H4:H5)</f>
        <v>69.3057036875491</v>
      </c>
      <c r="I16" s="7"/>
      <c r="J16" s="7" t="s">
        <v>22</v>
      </c>
      <c r="K16" s="7" t="n">
        <v>0</v>
      </c>
      <c r="L16" s="7" t="n">
        <v>623.672736452092</v>
      </c>
      <c r="M16" s="7"/>
      <c r="N16" s="7" t="s">
        <v>22</v>
      </c>
      <c r="O16" s="7" t="n">
        <f aca="false">SUM(O3:O4)</f>
        <v>0</v>
      </c>
      <c r="P16" s="7" t="n">
        <f aca="false">SUM(P3:P4)</f>
        <v>1706.73562036177</v>
      </c>
      <c r="Q16" s="7"/>
      <c r="R16" s="7" t="s">
        <v>22</v>
      </c>
      <c r="S16" s="7" t="n">
        <f aca="false">SUM(S3:S4)</f>
        <v>0</v>
      </c>
      <c r="T16" s="7" t="n">
        <f aca="false">SUM(T3:T4)</f>
        <v>127.977960608212</v>
      </c>
      <c r="V16" s="0" t="s">
        <v>8</v>
      </c>
      <c r="W16" s="10" t="n">
        <v>81.4709181469308</v>
      </c>
      <c r="X16" s="11" t="n">
        <v>132.124556868084</v>
      </c>
    </row>
    <row r="17" customFormat="false" ht="13.8" hidden="false" customHeight="false" outlineLevel="0" collapsed="false">
      <c r="F17" s="7" t="s">
        <v>24</v>
      </c>
      <c r="G17" s="12" t="n">
        <v>15.629174084</v>
      </c>
      <c r="H17" s="7" t="n">
        <v>34.4443474725</v>
      </c>
      <c r="I17" s="7"/>
      <c r="J17" s="7" t="s">
        <v>25</v>
      </c>
      <c r="K17" s="12" t="n">
        <v>255.227434040331</v>
      </c>
      <c r="L17" s="7" t="n">
        <v>1943.9790631548</v>
      </c>
      <c r="M17" s="7"/>
      <c r="N17" s="7" t="s">
        <v>24</v>
      </c>
      <c r="O17" s="7" t="n">
        <v>246.04910119601</v>
      </c>
      <c r="P17" s="7" t="n">
        <v>228.796841384856</v>
      </c>
      <c r="Q17" s="7"/>
      <c r="R17" s="7" t="s">
        <v>24</v>
      </c>
      <c r="S17" s="7" t="n">
        <v>0</v>
      </c>
      <c r="T17" s="7" t="n">
        <v>8.57264311199838</v>
      </c>
      <c r="V17" s="0" t="s">
        <v>15</v>
      </c>
      <c r="W17" s="7" t="n">
        <f aca="false">(8760*$W24*'Tendencial-potencia'!V6)/1000</f>
        <v>0.557136</v>
      </c>
      <c r="X17" s="7" t="n">
        <f aca="false">(8760*$W24*'Tendencial-potencia'!W6)/1000</f>
        <v>13.9284</v>
      </c>
    </row>
    <row r="18" customFormat="false" ht="13.8" hidden="false" customHeight="false" outlineLevel="0" collapsed="false">
      <c r="F18" s="7" t="s">
        <v>23</v>
      </c>
      <c r="G18" s="12" t="n">
        <v>65.8322346805004</v>
      </c>
      <c r="H18" s="7" t="n">
        <v>221.770171446666</v>
      </c>
      <c r="I18" s="7"/>
      <c r="J18" s="7" t="s">
        <v>27</v>
      </c>
      <c r="K18" s="7" t="n">
        <f aca="false">SUM(K5:K6)</f>
        <v>104.93616070758</v>
      </c>
      <c r="L18" s="7" t="n">
        <f aca="false">SUM(L5:L6)</f>
        <v>497.268455650913</v>
      </c>
      <c r="M18" s="7"/>
      <c r="N18" s="7" t="s">
        <v>25</v>
      </c>
      <c r="O18" s="7" t="n">
        <v>2953.86014564088</v>
      </c>
      <c r="P18" s="7" t="n">
        <v>4510.82661750809</v>
      </c>
      <c r="Q18" s="7"/>
      <c r="R18" s="7" t="s">
        <v>25</v>
      </c>
      <c r="S18" s="7" t="n">
        <v>1620.78868986461</v>
      </c>
      <c r="T18" s="7" t="n">
        <v>2878.58664948584</v>
      </c>
      <c r="V18" s="0" t="s">
        <v>12</v>
      </c>
      <c r="W18" s="13" t="n">
        <f aca="false">SUM(W16:W17)</f>
        <v>82.0280541469308</v>
      </c>
      <c r="X18" s="13" t="n">
        <f aca="false">SUM(X16:X17)</f>
        <v>146.052956868084</v>
      </c>
    </row>
    <row r="19" customFormat="false" ht="13.8" hidden="false" customHeight="false" outlineLevel="0" collapsed="false">
      <c r="F19" s="7" t="s">
        <v>27</v>
      </c>
      <c r="G19" s="12" t="n">
        <v>170.785756825193</v>
      </c>
      <c r="H19" s="7" t="n">
        <v>228.004771984536</v>
      </c>
      <c r="I19" s="7"/>
      <c r="J19" s="7" t="s">
        <v>28</v>
      </c>
      <c r="K19" s="12" t="n">
        <v>63.173228589</v>
      </c>
      <c r="L19" s="7" t="n">
        <v>88.878416328</v>
      </c>
      <c r="M19" s="7"/>
      <c r="N19" s="7" t="s">
        <v>27</v>
      </c>
      <c r="O19" s="7" t="n">
        <v>41.7936069540154</v>
      </c>
      <c r="P19" s="7" t="n">
        <v>41.7936069540154</v>
      </c>
      <c r="Q19" s="7"/>
      <c r="R19" s="7" t="s">
        <v>27</v>
      </c>
      <c r="S19" s="7" t="n">
        <f aca="false">SUM(S7:S8)</f>
        <v>138.754775087331</v>
      </c>
      <c r="T19" s="7" t="n">
        <f aca="false">SUM(T7:T8)</f>
        <v>138.754775087331</v>
      </c>
    </row>
    <row r="20" customFormat="false" ht="13.8" hidden="false" customHeight="false" outlineLevel="0" collapsed="false">
      <c r="F20" s="7" t="s">
        <v>30</v>
      </c>
      <c r="G20" s="7" t="n">
        <f aca="false">SUM(G9:G10)</f>
        <v>1720.10142246381</v>
      </c>
      <c r="H20" s="7" t="n">
        <f aca="false">SUM(H9:H10)</f>
        <v>2491.25566839449</v>
      </c>
      <c r="I20" s="7"/>
      <c r="J20" s="7" t="s">
        <v>30</v>
      </c>
      <c r="K20" s="7" t="n">
        <f aca="false">SUM(K8:K9)</f>
        <v>2412.91480433106</v>
      </c>
      <c r="L20" s="7" t="n">
        <f aca="false">SUM(L8:L9)</f>
        <v>2955.33492521529</v>
      </c>
      <c r="M20" s="7"/>
      <c r="N20" s="7" t="s">
        <v>28</v>
      </c>
      <c r="O20" s="7" t="n">
        <f aca="false">SUM(O8:O9)</f>
        <v>1270.696327962</v>
      </c>
      <c r="P20" s="7" t="n">
        <f aca="false">SUM(P8:P9)</f>
        <v>1270.696327962</v>
      </c>
      <c r="Q20" s="7"/>
      <c r="R20" s="7" t="s">
        <v>30</v>
      </c>
      <c r="S20" s="7" t="n">
        <v>135.04183630893</v>
      </c>
      <c r="T20" s="7" t="n">
        <v>135.04183630893</v>
      </c>
    </row>
    <row r="21" customFormat="false" ht="13.8" hidden="false" customHeight="false" outlineLevel="0" collapsed="false">
      <c r="F21" s="7" t="s">
        <v>15</v>
      </c>
      <c r="G21" s="7" t="n">
        <f aca="false">(8760*$G24*'Tendencial-potencia'!F12)/1000</f>
        <v>21.402432</v>
      </c>
      <c r="H21" s="7" t="n">
        <f aca="false">(8760*$G24*'Tendencial-potencia'!G12)/1000</f>
        <v>491.364168</v>
      </c>
      <c r="I21" s="7"/>
      <c r="J21" s="7" t="s">
        <v>15</v>
      </c>
      <c r="K21" s="7" t="n">
        <f aca="false">(8760*$K24*'Tendencial-potencia'!J12)/1000</f>
        <v>15.8647104</v>
      </c>
      <c r="L21" s="7" t="n">
        <f aca="false">(8760*$K24*'Tendencial-potencia'!K12)/1000</f>
        <v>361.8664896</v>
      </c>
      <c r="M21" s="7"/>
      <c r="N21" s="7" t="s">
        <v>15</v>
      </c>
      <c r="O21" s="7" t="n">
        <f aca="false">(8760*$O24*'Tendencial-potencia'!N12)/1000</f>
        <v>29.813784</v>
      </c>
      <c r="P21" s="7" t="n">
        <f aca="false">(8760*$O24*'Tendencial-potencia'!O12)/1000</f>
        <v>683.16612</v>
      </c>
      <c r="Q21" s="7"/>
      <c r="R21" s="7" t="s">
        <v>15</v>
      </c>
      <c r="S21" s="7" t="n">
        <f aca="false">(8760*$S24*'Tendencial-potencia'!R12)/1000</f>
        <v>9.0907776</v>
      </c>
      <c r="T21" s="7" t="n">
        <f aca="false">(8760*$S24*'Tendencial-potencia'!S12)/1000</f>
        <v>210.471264</v>
      </c>
    </row>
    <row r="22" customFormat="false" ht="13.8" hidden="false" customHeight="false" outlineLevel="0" collapsed="false">
      <c r="F22" s="7" t="s">
        <v>12</v>
      </c>
      <c r="G22" s="7" t="n">
        <f aca="false">SUM(G16:G21)</f>
        <v>2003.33681190689</v>
      </c>
      <c r="H22" s="7" t="n">
        <f aca="false">SUM(H16:H21)</f>
        <v>3536.14483098574</v>
      </c>
      <c r="I22" s="7"/>
      <c r="J22" s="7" t="s">
        <v>12</v>
      </c>
      <c r="K22" s="7" t="n">
        <f aca="false">SUM(K16:K21)</f>
        <v>2852.11633806797</v>
      </c>
      <c r="L22" s="7" t="n">
        <f aca="false">SUM(L16:L21)</f>
        <v>6471.00008640109</v>
      </c>
      <c r="M22" s="7"/>
      <c r="N22" s="7" t="s">
        <v>12</v>
      </c>
      <c r="O22" s="7" t="n">
        <f aca="false">SUM(O16:O21)</f>
        <v>4542.2129657529</v>
      </c>
      <c r="P22" s="7" t="n">
        <f aca="false">SUM(P16:P21)</f>
        <v>8442.01513417073</v>
      </c>
      <c r="Q22" s="7"/>
      <c r="R22" s="7" t="s">
        <v>12</v>
      </c>
      <c r="S22" s="7" t="n">
        <f aca="false">SUM(S16:S21)</f>
        <v>1903.67607886088</v>
      </c>
      <c r="T22" s="7" t="n">
        <f aca="false">SUM(T16:T21)</f>
        <v>3499.40512860231</v>
      </c>
    </row>
    <row r="24" customFormat="false" ht="13.8" hidden="false" customHeight="false" outlineLevel="0" collapsed="false">
      <c r="F24" s="7" t="s">
        <v>36</v>
      </c>
      <c r="G24" s="0" t="n">
        <v>0.2036</v>
      </c>
      <c r="J24" s="7" t="s">
        <v>36</v>
      </c>
      <c r="K24" s="0" t="n">
        <v>0.2156</v>
      </c>
      <c r="N24" s="7" t="s">
        <v>36</v>
      </c>
      <c r="O24" s="0" t="n">
        <v>0.182</v>
      </c>
      <c r="R24" s="7" t="s">
        <v>36</v>
      </c>
      <c r="S24" s="0" t="n">
        <v>0.2256</v>
      </c>
      <c r="V24" s="7" t="s">
        <v>36</v>
      </c>
      <c r="W24" s="0" t="n">
        <v>0.159</v>
      </c>
    </row>
    <row r="28" customFormat="false" ht="13.8" hidden="false" customHeight="false" outlineLevel="0" collapsed="false">
      <c r="A28" s="0" t="s">
        <v>34</v>
      </c>
    </row>
    <row r="29" customFormat="false" ht="13.8" hidden="false" customHeight="false" outlineLevel="0" collapsed="false">
      <c r="G29" s="1" t="s">
        <v>0</v>
      </c>
      <c r="H29" s="1"/>
      <c r="K29" s="1" t="s">
        <v>1</v>
      </c>
      <c r="L29" s="1"/>
      <c r="O29" s="1" t="s">
        <v>2</v>
      </c>
      <c r="P29" s="1"/>
      <c r="S29" s="1" t="s">
        <v>3</v>
      </c>
      <c r="T29" s="1"/>
      <c r="W29" s="1" t="s">
        <v>4</v>
      </c>
      <c r="X29" s="1"/>
    </row>
    <row r="30" customFormat="false" ht="13.8" hidden="false" customHeight="false" outlineLevel="0" collapsed="false">
      <c r="G30" s="4" t="n">
        <v>2025</v>
      </c>
      <c r="H30" s="0" t="n">
        <v>2050</v>
      </c>
      <c r="K30" s="4" t="n">
        <v>2025</v>
      </c>
      <c r="L30" s="0" t="n">
        <v>2050</v>
      </c>
      <c r="O30" s="0" t="n">
        <v>2025</v>
      </c>
      <c r="P30" s="0" t="n">
        <v>2050</v>
      </c>
      <c r="S30" s="0" t="n">
        <v>2025</v>
      </c>
      <c r="T30" s="0" t="n">
        <v>2050</v>
      </c>
      <c r="W30" s="4" t="n">
        <v>2025</v>
      </c>
      <c r="X30" s="4" t="n">
        <v>2050</v>
      </c>
    </row>
    <row r="31" customFormat="false" ht="13.8" hidden="false" customHeight="false" outlineLevel="0" collapsed="false">
      <c r="F31" s="0" t="s">
        <v>7</v>
      </c>
      <c r="G31" s="0" t="n">
        <v>9.58579830655491</v>
      </c>
      <c r="H31" s="0" t="n">
        <v>32.2253360347912</v>
      </c>
      <c r="J31" s="0" t="s">
        <v>7</v>
      </c>
      <c r="K31" s="0" t="n">
        <v>0</v>
      </c>
      <c r="L31" s="0" t="n">
        <v>683.213946378532</v>
      </c>
      <c r="N31" s="0" t="s">
        <v>7</v>
      </c>
      <c r="O31" s="0" t="n">
        <v>0</v>
      </c>
      <c r="P31" s="0" t="n">
        <v>1226.69601465239</v>
      </c>
      <c r="R31" s="0" t="s">
        <v>7</v>
      </c>
      <c r="S31" s="0" t="n">
        <v>0</v>
      </c>
      <c r="T31" s="0" t="n">
        <v>136.004032687321</v>
      </c>
      <c r="V31" s="0" t="s">
        <v>8</v>
      </c>
      <c r="W31" s="5" t="n">
        <v>82.073162780983</v>
      </c>
      <c r="X31" s="0" t="n">
        <v>145.941968314331</v>
      </c>
    </row>
    <row r="32" customFormat="false" ht="13.8" hidden="false" customHeight="false" outlineLevel="0" collapsed="false">
      <c r="F32" s="0" t="s">
        <v>32</v>
      </c>
      <c r="G32" s="0" t="n">
        <v>0</v>
      </c>
      <c r="H32" s="0" t="n">
        <v>40.5726658223146</v>
      </c>
      <c r="J32" s="0" t="s">
        <v>11</v>
      </c>
      <c r="K32" s="0" t="n">
        <v>255.676454857273</v>
      </c>
      <c r="L32" s="0" t="n">
        <v>2544.33316545719</v>
      </c>
      <c r="N32" s="0" t="s">
        <v>32</v>
      </c>
      <c r="O32" s="0" t="n">
        <v>0</v>
      </c>
      <c r="P32" s="0" t="n">
        <v>1072.8679732351</v>
      </c>
      <c r="R32" s="0" t="s">
        <v>32</v>
      </c>
      <c r="S32" s="0" t="n">
        <v>0</v>
      </c>
      <c r="T32" s="0" t="n">
        <v>9.7954318322245</v>
      </c>
    </row>
    <row r="33" customFormat="false" ht="13.8" hidden="false" customHeight="false" outlineLevel="0" collapsed="false">
      <c r="F33" s="0" t="s">
        <v>10</v>
      </c>
      <c r="G33" s="0" t="n">
        <v>15.629174084</v>
      </c>
      <c r="H33" s="0" t="n">
        <v>43.7809788605</v>
      </c>
      <c r="J33" s="0" t="s">
        <v>14</v>
      </c>
      <c r="K33" s="0" t="n">
        <v>51.2745065509013</v>
      </c>
      <c r="L33" s="0" t="n">
        <v>208.968034770077</v>
      </c>
      <c r="N33" s="0" t="s">
        <v>10</v>
      </c>
      <c r="O33" s="0" t="n">
        <v>246.04910119601</v>
      </c>
      <c r="P33" s="0" t="n">
        <v>246.04910119601</v>
      </c>
      <c r="R33" s="0" t="s">
        <v>11</v>
      </c>
      <c r="S33" s="0" t="n">
        <v>1629.86889072181</v>
      </c>
      <c r="T33" s="0" t="n">
        <v>3083.15456156149</v>
      </c>
    </row>
    <row r="34" customFormat="false" ht="13.8" hidden="false" customHeight="false" outlineLevel="0" collapsed="false">
      <c r="F34" s="0" t="s">
        <v>8</v>
      </c>
      <c r="G34" s="0" t="n">
        <v>67.0186347349334</v>
      </c>
      <c r="H34" s="0" t="n">
        <v>276.922759797849</v>
      </c>
      <c r="J34" s="0" t="s">
        <v>16</v>
      </c>
      <c r="K34" s="0" t="n">
        <v>0</v>
      </c>
      <c r="L34" s="0" t="n">
        <v>413.756708844752</v>
      </c>
      <c r="N34" s="0" t="s">
        <v>11</v>
      </c>
      <c r="O34" s="0" t="n">
        <v>2983.34254752545</v>
      </c>
      <c r="P34" s="0" t="n">
        <v>4513.152</v>
      </c>
      <c r="R34" s="0" t="s">
        <v>14</v>
      </c>
      <c r="S34" s="0" t="n">
        <v>133.739542252849</v>
      </c>
      <c r="T34" s="0" t="n">
        <v>133.739542252849</v>
      </c>
    </row>
    <row r="35" customFormat="false" ht="13.8" hidden="false" customHeight="false" outlineLevel="0" collapsed="false">
      <c r="F35" s="0" t="s">
        <v>16</v>
      </c>
      <c r="G35" s="0" t="n">
        <v>209.918737240391</v>
      </c>
      <c r="H35" s="0" t="n">
        <v>250.761641724092</v>
      </c>
      <c r="J35" s="0" t="s">
        <v>18</v>
      </c>
      <c r="K35" s="0" t="n">
        <v>75.0611900142</v>
      </c>
      <c r="L35" s="0" t="n">
        <v>88.878416328</v>
      </c>
      <c r="N35" s="0" t="s">
        <v>16</v>
      </c>
      <c r="O35" s="0" t="n">
        <v>41.7936069540154</v>
      </c>
      <c r="P35" s="0" t="n">
        <v>41.7936069540154</v>
      </c>
      <c r="R35" s="0" t="s">
        <v>16</v>
      </c>
      <c r="S35" s="0" t="n">
        <v>5.01523283448184</v>
      </c>
      <c r="T35" s="0" t="n">
        <v>5.01523283448184</v>
      </c>
    </row>
    <row r="36" customFormat="false" ht="13.8" hidden="false" customHeight="false" outlineLevel="0" collapsed="false">
      <c r="F36" s="0" t="s">
        <v>17</v>
      </c>
      <c r="G36" s="0" t="n">
        <v>1426.71150942815</v>
      </c>
      <c r="H36" s="0" t="n">
        <v>1499.01278512099</v>
      </c>
      <c r="J36" s="0" t="s">
        <v>17</v>
      </c>
      <c r="K36" s="0" t="n">
        <v>1198.28647903647</v>
      </c>
      <c r="L36" s="0" t="n">
        <v>1546.83405188559</v>
      </c>
      <c r="N36" s="0" t="s">
        <v>18</v>
      </c>
      <c r="O36" s="0" t="n">
        <v>355.513665312</v>
      </c>
      <c r="P36" s="0" t="n">
        <v>355.513665312</v>
      </c>
      <c r="R36" s="0" t="s">
        <v>17</v>
      </c>
      <c r="S36" s="0" t="n">
        <v>135.04183630893</v>
      </c>
      <c r="T36" s="0" t="n">
        <v>135.04183630893</v>
      </c>
    </row>
    <row r="37" customFormat="false" ht="13.8" hidden="false" customHeight="false" outlineLevel="0" collapsed="false">
      <c r="F37" s="0" t="s">
        <v>19</v>
      </c>
      <c r="G37" s="0" t="n">
        <v>395.061007716533</v>
      </c>
      <c r="H37" s="0" t="n">
        <v>992.2428832735</v>
      </c>
      <c r="J37" s="0" t="s">
        <v>19</v>
      </c>
      <c r="K37" s="0" t="n">
        <v>1150.62423250251</v>
      </c>
      <c r="L37" s="0" t="n">
        <v>1408.5008733297</v>
      </c>
      <c r="N37" s="0" t="s">
        <v>20</v>
      </c>
      <c r="O37" s="0" t="n">
        <v>915.18266265</v>
      </c>
      <c r="P37" s="0" t="n">
        <v>915.18266265</v>
      </c>
    </row>
    <row r="40" customFormat="false" ht="13.8" hidden="false" customHeight="false" outlineLevel="0" collapsed="false">
      <c r="B40" s="0" t="s">
        <v>5</v>
      </c>
      <c r="C40" s="0" t="n">
        <v>2025</v>
      </c>
      <c r="D40" s="0" t="n">
        <v>2050</v>
      </c>
      <c r="G40" s="1" t="s">
        <v>0</v>
      </c>
      <c r="H40" s="1"/>
      <c r="K40" s="1" t="s">
        <v>1</v>
      </c>
      <c r="L40" s="1"/>
      <c r="O40" s="1" t="s">
        <v>2</v>
      </c>
      <c r="P40" s="1"/>
      <c r="S40" s="1" t="s">
        <v>3</v>
      </c>
      <c r="T40" s="1"/>
      <c r="W40" s="1" t="s">
        <v>4</v>
      </c>
      <c r="X40" s="1"/>
    </row>
    <row r="41" customFormat="false" ht="13.8" hidden="false" customHeight="false" outlineLevel="0" collapsed="false">
      <c r="B41" s="0" t="s">
        <v>0</v>
      </c>
      <c r="C41" s="7" t="n">
        <v>2124.45992231056</v>
      </c>
      <c r="D41" s="7" t="n">
        <v>3184.56629063404</v>
      </c>
      <c r="G41" s="4" t="n">
        <v>2025</v>
      </c>
      <c r="H41" s="0" t="n">
        <v>2050</v>
      </c>
      <c r="K41" s="4" t="n">
        <v>2025</v>
      </c>
      <c r="L41" s="0" t="n">
        <v>2050</v>
      </c>
      <c r="O41" s="0" t="n">
        <v>2025</v>
      </c>
      <c r="P41" s="0" t="n">
        <v>2050</v>
      </c>
      <c r="S41" s="0" t="n">
        <v>2025</v>
      </c>
      <c r="T41" s="0" t="n">
        <v>2050</v>
      </c>
      <c r="W41" s="4" t="n">
        <v>2025</v>
      </c>
      <c r="X41" s="4" t="n">
        <v>2050</v>
      </c>
    </row>
    <row r="42" customFormat="false" ht="13.8" hidden="false" customHeight="false" outlineLevel="0" collapsed="false">
      <c r="B42" s="0" t="s">
        <v>9</v>
      </c>
      <c r="C42" s="7" t="n">
        <v>2731.30059416135</v>
      </c>
      <c r="D42" s="7" t="n">
        <v>6930.74739219384</v>
      </c>
      <c r="F42" s="7" t="s">
        <v>22</v>
      </c>
      <c r="G42" s="7" t="n">
        <f aca="false">SUM(G31:G32)</f>
        <v>9.58579830655491</v>
      </c>
      <c r="H42" s="7" t="n">
        <f aca="false">SUM(H31:H32)</f>
        <v>72.7980018571058</v>
      </c>
      <c r="I42" s="7"/>
      <c r="J42" s="7" t="s">
        <v>22</v>
      </c>
      <c r="K42" s="7" t="n">
        <v>0</v>
      </c>
      <c r="L42" s="7" t="n">
        <v>683.213946378532</v>
      </c>
      <c r="M42" s="7"/>
      <c r="N42" s="7" t="s">
        <v>22</v>
      </c>
      <c r="O42" s="7" t="n">
        <f aca="false">SUM(O31:O32)</f>
        <v>0</v>
      </c>
      <c r="P42" s="7" t="n">
        <f aca="false">SUM(P31:P32)</f>
        <v>2299.56398788749</v>
      </c>
      <c r="Q42" s="7"/>
      <c r="R42" s="7" t="s">
        <v>22</v>
      </c>
      <c r="S42" s="7" t="n">
        <f aca="false">SUM(S31:S32)</f>
        <v>0</v>
      </c>
      <c r="T42" s="7" t="n">
        <f aca="false">SUM(T31:T32)</f>
        <v>145.799464519545</v>
      </c>
      <c r="U42" s="7"/>
      <c r="V42" s="7" t="s">
        <v>23</v>
      </c>
      <c r="W42" s="5" t="n">
        <v>82.073162780983</v>
      </c>
      <c r="X42" s="0" t="n">
        <v>145.941968314331</v>
      </c>
    </row>
    <row r="43" customFormat="false" ht="13.8" hidden="false" customHeight="false" outlineLevel="0" collapsed="false">
      <c r="B43" s="0" t="s">
        <v>13</v>
      </c>
      <c r="C43" s="7" t="n">
        <v>4542.67874363748</v>
      </c>
      <c r="D43" s="7" t="n">
        <v>8439.65135199952</v>
      </c>
      <c r="F43" s="7" t="s">
        <v>24</v>
      </c>
      <c r="G43" s="7" t="n">
        <v>15.629174084</v>
      </c>
      <c r="H43" s="7" t="n">
        <v>43.7809788605</v>
      </c>
      <c r="I43" s="7"/>
      <c r="J43" s="7" t="s">
        <v>25</v>
      </c>
      <c r="K43" s="7" t="n">
        <v>255.676454857273</v>
      </c>
      <c r="L43" s="7" t="n">
        <v>2544.33316545719</v>
      </c>
      <c r="M43" s="7"/>
      <c r="N43" s="7" t="s">
        <v>24</v>
      </c>
      <c r="O43" s="7" t="n">
        <v>246.04910119601</v>
      </c>
      <c r="P43" s="7" t="n">
        <v>246.04910119601</v>
      </c>
      <c r="Q43" s="7"/>
      <c r="R43" s="7" t="s">
        <v>25</v>
      </c>
      <c r="S43" s="7" t="n">
        <v>1629.86889072181</v>
      </c>
      <c r="T43" s="7" t="n">
        <v>3083.15456156149</v>
      </c>
      <c r="U43" s="7"/>
      <c r="V43" s="0" t="s">
        <v>15</v>
      </c>
      <c r="W43" s="7" t="n">
        <f aca="false">(8760*$W24*'Tendencial-potencia'!V30)/1000</f>
        <v>0</v>
      </c>
      <c r="X43" s="7" t="n">
        <f aca="false">(8760*$W24*'Tendencial-potencia'!W30)/1000</f>
        <v>1.39284</v>
      </c>
    </row>
    <row r="44" customFormat="false" ht="13.8" hidden="false" customHeight="false" outlineLevel="0" collapsed="false">
      <c r="B44" s="0" t="s">
        <v>3</v>
      </c>
      <c r="C44" s="7" t="n">
        <v>1903.86312771807</v>
      </c>
      <c r="D44" s="7" t="n">
        <v>3523.6989510773</v>
      </c>
      <c r="F44" s="7" t="s">
        <v>23</v>
      </c>
      <c r="G44" s="7" t="n">
        <v>67.0186347349334</v>
      </c>
      <c r="H44" s="7" t="n">
        <v>276.922759797849</v>
      </c>
      <c r="I44" s="7"/>
      <c r="J44" s="7" t="s">
        <v>27</v>
      </c>
      <c r="K44" s="7" t="n">
        <f aca="false">SUM(K33:K34)</f>
        <v>51.2745065509013</v>
      </c>
      <c r="L44" s="7" t="n">
        <f aca="false">SUM(L33:L34)</f>
        <v>622.724743614829</v>
      </c>
      <c r="M44" s="7"/>
      <c r="N44" s="7" t="s">
        <v>25</v>
      </c>
      <c r="O44" s="7" t="n">
        <v>2983.34254752545</v>
      </c>
      <c r="P44" s="7" t="n">
        <v>4513.152</v>
      </c>
      <c r="Q44" s="7"/>
      <c r="R44" s="7" t="s">
        <v>27</v>
      </c>
      <c r="S44" s="7" t="n">
        <f aca="false">SUM(S34:S35)</f>
        <v>138.754775087331</v>
      </c>
      <c r="T44" s="7" t="n">
        <f aca="false">SUM(T34:T35)</f>
        <v>138.754775087331</v>
      </c>
      <c r="U44" s="7"/>
      <c r="V44" s="7" t="s">
        <v>12</v>
      </c>
      <c r="W44" s="7" t="n">
        <f aca="false">SUM(W42:W43)</f>
        <v>82.073162780983</v>
      </c>
      <c r="X44" s="7" t="n">
        <f aca="false">SUM(X42:X43)</f>
        <v>147.334808314331</v>
      </c>
    </row>
    <row r="45" customFormat="false" ht="13.8" hidden="false" customHeight="false" outlineLevel="0" collapsed="false">
      <c r="B45" s="0" t="s">
        <v>4</v>
      </c>
      <c r="C45" s="7" t="n">
        <v>82.073162780983</v>
      </c>
      <c r="D45" s="7" t="n">
        <v>147.334808314331</v>
      </c>
      <c r="F45" s="7" t="s">
        <v>27</v>
      </c>
      <c r="G45" s="7" t="n">
        <v>209.918737240391</v>
      </c>
      <c r="H45" s="7" t="n">
        <v>250.761641724092</v>
      </c>
      <c r="I45" s="7"/>
      <c r="J45" s="7" t="s">
        <v>28</v>
      </c>
      <c r="K45" s="7" t="n">
        <v>75.0611900142</v>
      </c>
      <c r="L45" s="7" t="n">
        <v>88.878416328</v>
      </c>
      <c r="M45" s="7"/>
      <c r="N45" s="7" t="s">
        <v>27</v>
      </c>
      <c r="O45" s="7" t="n">
        <v>41.7936069540154</v>
      </c>
      <c r="P45" s="7" t="n">
        <v>41.7936069540154</v>
      </c>
      <c r="Q45" s="7"/>
      <c r="R45" s="7" t="s">
        <v>30</v>
      </c>
      <c r="S45" s="7" t="n">
        <v>135.04183630893</v>
      </c>
      <c r="T45" s="7" t="n">
        <v>135.04183630893</v>
      </c>
      <c r="U45" s="7"/>
      <c r="V45" s="7"/>
      <c r="W45" s="7"/>
      <c r="X45" s="7"/>
    </row>
    <row r="46" customFormat="false" ht="13.8" hidden="false" customHeight="false" outlineLevel="0" collapsed="false">
      <c r="B46" s="0" t="s">
        <v>12</v>
      </c>
      <c r="C46" s="0" t="n">
        <f aca="false">SUM(C41:C45)</f>
        <v>11384.3755506084</v>
      </c>
      <c r="D46" s="0" t="n">
        <f aca="false">SUM(D41:D45)</f>
        <v>22225.998794219</v>
      </c>
      <c r="F46" s="7" t="s">
        <v>30</v>
      </c>
      <c r="G46" s="7" t="n">
        <f aca="false">SUM(G36:G37)</f>
        <v>1821.77251714468</v>
      </c>
      <c r="H46" s="7" t="n">
        <f aca="false">SUM(H36:H37)</f>
        <v>2491.25566839449</v>
      </c>
      <c r="I46" s="7"/>
      <c r="J46" s="7" t="s">
        <v>30</v>
      </c>
      <c r="K46" s="7" t="n">
        <f aca="false">SUM(K36:K37)</f>
        <v>2348.91071153898</v>
      </c>
      <c r="L46" s="7" t="n">
        <f aca="false">SUM(L36:L37)</f>
        <v>2955.33492521529</v>
      </c>
      <c r="M46" s="7"/>
      <c r="N46" s="7" t="s">
        <v>28</v>
      </c>
      <c r="O46" s="7" t="n">
        <f aca="false">SUM(O36:O37)</f>
        <v>1270.696327962</v>
      </c>
      <c r="P46" s="7" t="n">
        <f aca="false">SUM(P36:P37)</f>
        <v>1270.696327962</v>
      </c>
      <c r="Q46" s="7"/>
      <c r="R46" s="0" t="s">
        <v>15</v>
      </c>
      <c r="S46" s="7" t="n">
        <f aca="false">(8760*$S24*'Tendencial-potencia'!R45)/1000</f>
        <v>0.1976256</v>
      </c>
      <c r="T46" s="7" t="n">
        <f aca="false">(8760*$S24*'Tendencial-potencia'!S45)/1000</f>
        <v>20.9483136</v>
      </c>
      <c r="U46" s="7"/>
      <c r="V46" s="7"/>
      <c r="W46" s="7"/>
      <c r="X46" s="7"/>
    </row>
    <row r="47" customFormat="false" ht="13.8" hidden="false" customHeight="false" outlineLevel="0" collapsed="false">
      <c r="F47" s="0" t="s">
        <v>15</v>
      </c>
      <c r="G47" s="7" t="n">
        <f aca="false">(8760*$G24*'Tendencial-potencia'!F46)/1000</f>
        <v>0.5350608</v>
      </c>
      <c r="H47" s="7" t="n">
        <f aca="false">(8760*$G24*'Tendencial-potencia'!G46)/1000</f>
        <v>49.04724</v>
      </c>
      <c r="I47" s="7"/>
      <c r="J47" s="7" t="s">
        <v>15</v>
      </c>
      <c r="K47" s="7" t="n">
        <f aca="false">(8760*$K24*'Tendencial-potencia'!J46)/1000</f>
        <v>0.3777312</v>
      </c>
      <c r="L47" s="7" t="n">
        <f aca="false">(8760*$K24*'Tendencial-potencia'!K46)/1000</f>
        <v>36.2621952</v>
      </c>
      <c r="M47" s="7"/>
      <c r="N47" s="7" t="s">
        <v>15</v>
      </c>
      <c r="O47" s="7" t="n">
        <f aca="false">(8760*$O24*'Tendencial-potencia'!N46)/1000</f>
        <v>0.79716</v>
      </c>
      <c r="P47" s="7" t="n">
        <f aca="false">(8760*$O24*'Tendencial-potencia'!O46)/1000</f>
        <v>68.396328</v>
      </c>
      <c r="Q47" s="7"/>
      <c r="R47" s="7" t="s">
        <v>12</v>
      </c>
      <c r="S47" s="7" t="n">
        <f aca="false">SUM(S42:S46)</f>
        <v>1903.86312771807</v>
      </c>
      <c r="T47" s="7" t="n">
        <f aca="false">SUM(T42:T46)</f>
        <v>3523.6989510773</v>
      </c>
      <c r="U47" s="7"/>
      <c r="V47" s="7"/>
      <c r="W47" s="7"/>
      <c r="X47" s="7"/>
    </row>
    <row r="48" customFormat="false" ht="13.8" hidden="false" customHeight="false" outlineLevel="0" collapsed="false">
      <c r="F48" s="7" t="s">
        <v>12</v>
      </c>
      <c r="G48" s="7" t="n">
        <f aca="false">SUM(G42:G47)</f>
        <v>2124.45992231056</v>
      </c>
      <c r="H48" s="7" t="n">
        <f aca="false">SUM(H42:H47)</f>
        <v>3184.56629063404</v>
      </c>
      <c r="J48" s="7" t="s">
        <v>12</v>
      </c>
      <c r="K48" s="7" t="n">
        <f aca="false">SUM(K42:K47)</f>
        <v>2731.30059416135</v>
      </c>
      <c r="L48" s="7" t="n">
        <f aca="false">SUM(L42:L47)</f>
        <v>6930.74739219384</v>
      </c>
      <c r="N48" s="7" t="s">
        <v>37</v>
      </c>
      <c r="O48" s="7" t="n">
        <f aca="false">SUM(O42:O47)</f>
        <v>4542.67874363748</v>
      </c>
      <c r="P48" s="7" t="n">
        <f aca="false">SUM(P42:P47)</f>
        <v>8439.65135199952</v>
      </c>
    </row>
    <row r="53" customFormat="false" ht="13.8" hidden="false" customHeight="false" outlineLevel="0" collapsed="false">
      <c r="C53" s="0" t="n">
        <f aca="false">(D9*100)/C46</f>
        <v>194.078437054433</v>
      </c>
    </row>
  </sheetData>
  <mergeCells count="20">
    <mergeCell ref="G1:H1"/>
    <mergeCell ref="K1:L1"/>
    <mergeCell ref="O1:P1"/>
    <mergeCell ref="S1:T1"/>
    <mergeCell ref="W1:X1"/>
    <mergeCell ref="G14:H14"/>
    <mergeCell ref="K14:L14"/>
    <mergeCell ref="O14:P14"/>
    <mergeCell ref="S14:T14"/>
    <mergeCell ref="W14:X14"/>
    <mergeCell ref="G29:H29"/>
    <mergeCell ref="K29:L29"/>
    <mergeCell ref="O29:P29"/>
    <mergeCell ref="S29:T29"/>
    <mergeCell ref="W29:X29"/>
    <mergeCell ref="G40:H40"/>
    <mergeCell ref="K40:L40"/>
    <mergeCell ref="O40:P40"/>
    <mergeCell ref="S40:T40"/>
    <mergeCell ref="W40:X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X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7421875" defaultRowHeight="13.8" zeroHeight="false" outlineLevelRow="0" outlineLevelCol="0"/>
  <sheetData>
    <row r="1" customFormat="false" ht="13.8" hidden="false" customHeight="false" outlineLevel="0" collapsed="false">
      <c r="G1" s="1" t="s">
        <v>0</v>
      </c>
      <c r="H1" s="1"/>
      <c r="K1" s="1" t="s">
        <v>1</v>
      </c>
      <c r="L1" s="1"/>
      <c r="O1" s="1" t="s">
        <v>2</v>
      </c>
      <c r="P1" s="1"/>
      <c r="S1" s="1" t="s">
        <v>3</v>
      </c>
      <c r="T1" s="1"/>
      <c r="W1" s="1" t="s">
        <v>4</v>
      </c>
      <c r="X1" s="1"/>
    </row>
    <row r="2" customFormat="false" ht="13.8" hidden="false" customHeight="false" outlineLevel="0" collapsed="false">
      <c r="G2" s="4" t="n">
        <v>2025</v>
      </c>
      <c r="H2" s="4" t="n">
        <v>2050</v>
      </c>
      <c r="K2" s="0" t="n">
        <v>2025</v>
      </c>
      <c r="L2" s="0" t="n">
        <v>2050</v>
      </c>
      <c r="O2" s="0" t="n">
        <v>2025</v>
      </c>
      <c r="P2" s="0" t="n">
        <v>2050</v>
      </c>
      <c r="S2" s="0" t="n">
        <v>2025</v>
      </c>
      <c r="T2" s="4" t="n">
        <v>2050</v>
      </c>
      <c r="W2" s="0" t="n">
        <v>2025</v>
      </c>
      <c r="X2" s="0" t="n">
        <v>2050</v>
      </c>
    </row>
    <row r="3" customFormat="false" ht="13.8" hidden="false" customHeight="false" outlineLevel="0" collapsed="false">
      <c r="B3" s="4" t="s">
        <v>5</v>
      </c>
      <c r="C3" s="4" t="n">
        <v>2025</v>
      </c>
      <c r="D3" s="4" t="n">
        <v>2050</v>
      </c>
      <c r="F3" s="0" t="s">
        <v>7</v>
      </c>
      <c r="G3" s="2" t="n">
        <v>0</v>
      </c>
      <c r="H3" s="2" t="n">
        <v>2.1473107737238</v>
      </c>
      <c r="J3" s="0" t="s">
        <v>7</v>
      </c>
      <c r="K3" s="0" t="n">
        <v>0</v>
      </c>
      <c r="L3" s="0" t="n">
        <v>161.446632540555</v>
      </c>
      <c r="N3" s="0" t="s">
        <v>7</v>
      </c>
      <c r="O3" s="0" t="n">
        <v>0</v>
      </c>
      <c r="P3" s="0" t="n">
        <v>0</v>
      </c>
      <c r="R3" s="0" t="s">
        <v>7</v>
      </c>
      <c r="S3" s="0" t="n">
        <v>0</v>
      </c>
      <c r="T3" s="2" t="n">
        <v>31.97184</v>
      </c>
      <c r="V3" s="0" t="s">
        <v>8</v>
      </c>
      <c r="W3" s="0" t="n">
        <v>81.4709181469308</v>
      </c>
      <c r="X3" s="0" t="n">
        <v>132.124556868084</v>
      </c>
    </row>
    <row r="4" customFormat="false" ht="13.8" hidden="false" customHeight="false" outlineLevel="0" collapsed="false">
      <c r="B4" s="0" t="s">
        <v>0</v>
      </c>
      <c r="C4" s="14" t="n">
        <v>2512.56960964611</v>
      </c>
      <c r="D4" s="14" t="n">
        <v>3401.12961264753</v>
      </c>
      <c r="F4" s="0" t="s">
        <v>10</v>
      </c>
      <c r="G4" s="2" t="n">
        <v>42.7327761855</v>
      </c>
      <c r="H4" s="2" t="n">
        <v>29.2806632885</v>
      </c>
      <c r="J4" s="0" t="s">
        <v>11</v>
      </c>
      <c r="K4" s="0" t="n">
        <v>0</v>
      </c>
      <c r="L4" s="0" t="n">
        <v>894.112770190121</v>
      </c>
      <c r="N4" s="0" t="s">
        <v>10</v>
      </c>
      <c r="O4" s="0" t="n">
        <v>246.04910119601</v>
      </c>
      <c r="P4" s="0" t="n">
        <v>164.55732768137</v>
      </c>
      <c r="R4" s="0" t="s">
        <v>8</v>
      </c>
      <c r="S4" s="0" t="n">
        <v>0</v>
      </c>
      <c r="T4" s="2" t="n">
        <v>0</v>
      </c>
      <c r="V4" s="0" t="s">
        <v>12</v>
      </c>
      <c r="W4" s="0" t="n">
        <v>81.4709181469308</v>
      </c>
      <c r="X4" s="0" t="n">
        <v>132.124556868084</v>
      </c>
    </row>
    <row r="5" customFormat="false" ht="13.8" hidden="false" customHeight="false" outlineLevel="0" collapsed="false">
      <c r="B5" s="0" t="s">
        <v>9</v>
      </c>
      <c r="C5" s="14" t="n">
        <v>3269.04608671336</v>
      </c>
      <c r="D5" s="14" t="n">
        <v>5305.32166343233</v>
      </c>
      <c r="F5" s="0" t="s">
        <v>8</v>
      </c>
      <c r="G5" s="2" t="n">
        <v>282.675296736587</v>
      </c>
      <c r="H5" s="2" t="n">
        <v>195.015241167927</v>
      </c>
      <c r="J5" s="0" t="s">
        <v>14</v>
      </c>
      <c r="K5" s="0" t="n">
        <v>208.968034770077</v>
      </c>
      <c r="L5" s="0" t="n">
        <v>61.3058347700768</v>
      </c>
      <c r="N5" s="0" t="s">
        <v>11</v>
      </c>
      <c r="O5" s="0" t="n">
        <v>2230.01117701991</v>
      </c>
      <c r="P5" s="0" t="n">
        <v>2393.29037313112</v>
      </c>
      <c r="R5" s="0" t="s">
        <v>11</v>
      </c>
      <c r="S5" s="0" t="n">
        <v>1663.51004244525</v>
      </c>
      <c r="T5" s="6" t="n">
        <v>1888.25068572105</v>
      </c>
    </row>
    <row r="6" customFormat="false" ht="13.8" hidden="false" customHeight="false" outlineLevel="0" collapsed="false">
      <c r="B6" s="0" t="s">
        <v>13</v>
      </c>
      <c r="C6" s="14" t="n">
        <v>3467.7192987986</v>
      </c>
      <c r="D6" s="14" t="n">
        <v>9734.2120632784</v>
      </c>
      <c r="F6" s="0" t="s">
        <v>16</v>
      </c>
      <c r="G6" s="2" t="n">
        <v>250.761641724092</v>
      </c>
      <c r="H6" s="5" t="n">
        <v>527.7171093347</v>
      </c>
      <c r="J6" s="0" t="s">
        <v>16</v>
      </c>
      <c r="K6" s="0" t="n">
        <v>0</v>
      </c>
      <c r="L6" s="0" t="n">
        <v>1228.73204444805</v>
      </c>
      <c r="N6" s="0" t="s">
        <v>16</v>
      </c>
      <c r="O6" s="0" t="n">
        <v>41.7936069540154</v>
      </c>
      <c r="P6" s="0" t="n">
        <v>41.7936069540154</v>
      </c>
      <c r="R6" s="0" t="s">
        <v>14</v>
      </c>
      <c r="S6" s="0" t="n">
        <v>133.739542252849</v>
      </c>
      <c r="T6" s="2" t="n">
        <v>71.8456366244238</v>
      </c>
    </row>
    <row r="7" customFormat="false" ht="13.8" hidden="false" customHeight="false" outlineLevel="0" collapsed="false">
      <c r="B7" s="0" t="s">
        <v>3</v>
      </c>
      <c r="C7" s="14" t="n">
        <v>1946.39743144151</v>
      </c>
      <c r="D7" s="14" t="n">
        <v>3633.95952319965</v>
      </c>
      <c r="F7" s="0" t="s">
        <v>17</v>
      </c>
      <c r="G7" s="9" t="n">
        <v>1499.01278512099</v>
      </c>
      <c r="H7" s="9" t="n">
        <v>1320.13993470253</v>
      </c>
      <c r="J7" s="0" t="s">
        <v>18</v>
      </c>
      <c r="K7" s="0" t="n">
        <v>88.878416328</v>
      </c>
      <c r="L7" s="0" t="n">
        <v>76.5696774294</v>
      </c>
      <c r="N7" s="0" t="s">
        <v>18</v>
      </c>
      <c r="O7" s="0" t="n">
        <v>355.513665312</v>
      </c>
      <c r="P7" s="0" t="n">
        <v>341.445088420239</v>
      </c>
      <c r="R7" s="0" t="s">
        <v>16</v>
      </c>
      <c r="S7" s="0" t="n">
        <v>5.01523283448184</v>
      </c>
      <c r="T7" s="5" t="n">
        <v>1321.51385188597</v>
      </c>
    </row>
    <row r="8" customFormat="false" ht="13.8" hidden="false" customHeight="false" outlineLevel="0" collapsed="false">
      <c r="B8" s="0" t="s">
        <v>4</v>
      </c>
      <c r="C8" s="14" t="n">
        <v>82.0280541469308</v>
      </c>
      <c r="D8" s="14" t="n">
        <v>146.052956868084</v>
      </c>
      <c r="F8" s="0" t="s">
        <v>19</v>
      </c>
      <c r="G8" s="5" t="n">
        <v>415.984677878939</v>
      </c>
      <c r="H8" s="6" t="n">
        <v>835.465185380147</v>
      </c>
      <c r="J8" s="0" t="s">
        <v>20</v>
      </c>
      <c r="K8" s="0" t="n">
        <v>0</v>
      </c>
      <c r="L8" s="0" t="n">
        <v>172.22543175</v>
      </c>
      <c r="N8" s="0" t="s">
        <v>20</v>
      </c>
      <c r="O8" s="0" t="n">
        <v>564.537964316667</v>
      </c>
      <c r="P8" s="0" t="n">
        <v>2502.33421425</v>
      </c>
      <c r="R8" s="0" t="s">
        <v>17</v>
      </c>
      <c r="S8" s="0" t="n">
        <v>135.04183630893</v>
      </c>
      <c r="T8" s="2" t="n">
        <v>109.906244968219</v>
      </c>
    </row>
    <row r="9" customFormat="false" ht="13.8" hidden="false" customHeight="false" outlineLevel="0" collapsed="false">
      <c r="B9" s="4" t="s">
        <v>12</v>
      </c>
      <c r="C9" s="8"/>
      <c r="D9" s="8"/>
      <c r="F9" s="0" t="s">
        <v>12</v>
      </c>
      <c r="G9" s="8" t="n">
        <v>2491.16717764611</v>
      </c>
      <c r="H9" s="8" t="n">
        <v>2909.76544464753</v>
      </c>
      <c r="J9" s="0" t="s">
        <v>17</v>
      </c>
      <c r="K9" s="0" t="n">
        <v>1546.83405188559</v>
      </c>
      <c r="L9" s="0" t="n">
        <v>1158.82733963788</v>
      </c>
      <c r="N9" s="0" t="s">
        <v>21</v>
      </c>
      <c r="O9" s="0" t="n">
        <v>0</v>
      </c>
      <c r="P9" s="0" t="n">
        <v>3607.62533284165</v>
      </c>
      <c r="R9" s="0" t="s">
        <v>12</v>
      </c>
      <c r="S9" s="0" t="n">
        <v>1937.30665384151</v>
      </c>
      <c r="T9" s="8" t="n">
        <v>3423.48825919965</v>
      </c>
    </row>
    <row r="10" customFormat="false" ht="13.8" hidden="false" customHeight="false" outlineLevel="0" collapsed="false">
      <c r="J10" s="0" t="s">
        <v>19</v>
      </c>
      <c r="K10" s="0" t="n">
        <v>1408.5008733297</v>
      </c>
      <c r="L10" s="0" t="n">
        <v>1190.23544306625</v>
      </c>
      <c r="N10" s="0" t="s">
        <v>12</v>
      </c>
      <c r="O10" s="0" t="n">
        <v>3437.9055147986</v>
      </c>
      <c r="P10" s="0" t="n">
        <v>9051.0459432784</v>
      </c>
    </row>
    <row r="11" customFormat="false" ht="13.8" hidden="false" customHeight="false" outlineLevel="0" collapsed="false">
      <c r="J11" s="0" t="s">
        <v>12</v>
      </c>
      <c r="K11" s="0" t="n">
        <v>3253.18137631336</v>
      </c>
      <c r="L11" s="0" t="n">
        <v>4943.45517383233</v>
      </c>
    </row>
    <row r="13" customFormat="false" ht="13.8" hidden="false" customHeight="false" outlineLevel="0" collapsed="false">
      <c r="G13" s="1" t="s">
        <v>0</v>
      </c>
      <c r="H13" s="1"/>
      <c r="K13" s="1" t="s">
        <v>1</v>
      </c>
      <c r="L13" s="1"/>
      <c r="O13" s="1" t="s">
        <v>2</v>
      </c>
      <c r="P13" s="1"/>
      <c r="S13" s="1" t="s">
        <v>3</v>
      </c>
      <c r="T13" s="1"/>
      <c r="W13" s="1" t="s">
        <v>4</v>
      </c>
      <c r="X13" s="1"/>
    </row>
    <row r="14" customFormat="false" ht="13.8" hidden="false" customHeight="false" outlineLevel="0" collapsed="false">
      <c r="F14" s="7"/>
      <c r="G14" s="15" t="n">
        <v>2025</v>
      </c>
      <c r="H14" s="15" t="n">
        <v>2050</v>
      </c>
      <c r="I14" s="7"/>
      <c r="J14" s="7"/>
      <c r="K14" s="7" t="n">
        <v>2025</v>
      </c>
      <c r="L14" s="7" t="n">
        <v>2050</v>
      </c>
      <c r="M14" s="7"/>
      <c r="N14" s="7"/>
      <c r="O14" s="7" t="n">
        <v>2025</v>
      </c>
      <c r="P14" s="7" t="n">
        <v>2050</v>
      </c>
      <c r="Q14" s="7"/>
      <c r="R14" s="7"/>
      <c r="S14" s="7" t="n">
        <v>2025</v>
      </c>
      <c r="T14" s="15" t="n">
        <v>2050</v>
      </c>
      <c r="U14" s="7"/>
      <c r="V14" s="7"/>
      <c r="W14" s="7" t="n">
        <v>2025</v>
      </c>
      <c r="X14" s="7" t="n">
        <v>2050</v>
      </c>
    </row>
    <row r="15" customFormat="false" ht="13.8" hidden="false" customHeight="false" outlineLevel="0" collapsed="false">
      <c r="F15" s="7" t="s">
        <v>22</v>
      </c>
      <c r="G15" s="12" t="n">
        <v>0</v>
      </c>
      <c r="H15" s="12" t="n">
        <v>2.1473107737238</v>
      </c>
      <c r="I15" s="7"/>
      <c r="J15" s="7" t="s">
        <v>22</v>
      </c>
      <c r="K15" s="7" t="n">
        <v>0</v>
      </c>
      <c r="L15" s="7" t="n">
        <v>161.446632540555</v>
      </c>
      <c r="M15" s="7"/>
      <c r="N15" s="7" t="s">
        <v>22</v>
      </c>
      <c r="O15" s="7"/>
      <c r="P15" s="7"/>
      <c r="Q15" s="7"/>
      <c r="R15" s="7" t="s">
        <v>22</v>
      </c>
      <c r="S15" s="7" t="n">
        <v>0</v>
      </c>
      <c r="T15" s="12" t="n">
        <v>31.97184</v>
      </c>
      <c r="U15" s="7"/>
      <c r="V15" s="7" t="s">
        <v>8</v>
      </c>
      <c r="W15" s="7" t="n">
        <v>81.4709181469308</v>
      </c>
      <c r="X15" s="7" t="n">
        <v>132.124556868084</v>
      </c>
    </row>
    <row r="16" customFormat="false" ht="13.8" hidden="false" customHeight="false" outlineLevel="0" collapsed="false">
      <c r="F16" s="7" t="s">
        <v>24</v>
      </c>
      <c r="G16" s="12" t="n">
        <v>42.7327761855</v>
      </c>
      <c r="H16" s="12" t="n">
        <v>29.2806632885</v>
      </c>
      <c r="I16" s="7"/>
      <c r="J16" s="7" t="s">
        <v>25</v>
      </c>
      <c r="K16" s="7" t="n">
        <v>0</v>
      </c>
      <c r="L16" s="7" t="n">
        <v>894.112770190121</v>
      </c>
      <c r="M16" s="7"/>
      <c r="N16" s="7" t="s">
        <v>24</v>
      </c>
      <c r="O16" s="7" t="n">
        <v>246.04910119601</v>
      </c>
      <c r="P16" s="7" t="n">
        <v>164.55732768137</v>
      </c>
      <c r="Q16" s="7"/>
      <c r="R16" s="7" t="s">
        <v>25</v>
      </c>
      <c r="S16" s="7" t="n">
        <v>1663.51004244525</v>
      </c>
      <c r="T16" s="16" t="n">
        <v>1888.25068572105</v>
      </c>
      <c r="U16" s="7"/>
      <c r="V16" s="7" t="s">
        <v>15</v>
      </c>
      <c r="W16" s="7" t="n">
        <f aca="false">(8760*$W24*'alternativo-potencia'!V6)/1000</f>
        <v>0.557136</v>
      </c>
      <c r="X16" s="7" t="n">
        <f aca="false">(8760*$W24*'alternativo-potencia'!W6)/1000</f>
        <v>13.9284</v>
      </c>
    </row>
    <row r="17" customFormat="false" ht="13.8" hidden="false" customHeight="false" outlineLevel="0" collapsed="false">
      <c r="F17" s="7" t="s">
        <v>23</v>
      </c>
      <c r="G17" s="12" t="n">
        <v>282.675296736587</v>
      </c>
      <c r="H17" s="12" t="n">
        <v>195.015241167927</v>
      </c>
      <c r="I17" s="7"/>
      <c r="J17" s="7" t="s">
        <v>27</v>
      </c>
      <c r="K17" s="7" t="n">
        <f aca="false">SUM(K5:K6)</f>
        <v>208.968034770077</v>
      </c>
      <c r="L17" s="7" t="n">
        <f aca="false">SUM(L5:L6)</f>
        <v>1290.03787921813</v>
      </c>
      <c r="M17" s="7"/>
      <c r="N17" s="7" t="s">
        <v>25</v>
      </c>
      <c r="O17" s="7" t="n">
        <v>2230.01117701991</v>
      </c>
      <c r="P17" s="7" t="n">
        <v>2393.29037313112</v>
      </c>
      <c r="Q17" s="7"/>
      <c r="R17" s="7" t="s">
        <v>27</v>
      </c>
      <c r="S17" s="7" t="n">
        <f aca="false">SUM(S6:S7)</f>
        <v>138.754775087331</v>
      </c>
      <c r="T17" s="7" t="n">
        <f aca="false">SUM(T6:T7)</f>
        <v>1393.35948851039</v>
      </c>
      <c r="U17" s="7"/>
      <c r="V17" s="7" t="s">
        <v>12</v>
      </c>
      <c r="W17" s="7" t="n">
        <f aca="false">SUM(W15:W16)</f>
        <v>82.0280541469308</v>
      </c>
      <c r="X17" s="7" t="n">
        <f aca="false">SUM(X15:X16)</f>
        <v>146.052956868084</v>
      </c>
    </row>
    <row r="18" customFormat="false" ht="13.8" hidden="false" customHeight="false" outlineLevel="0" collapsed="false">
      <c r="F18" s="7" t="s">
        <v>27</v>
      </c>
      <c r="G18" s="12" t="n">
        <v>250.761641724092</v>
      </c>
      <c r="H18" s="17" t="n">
        <v>527.7171093347</v>
      </c>
      <c r="I18" s="7"/>
      <c r="J18" s="7" t="s">
        <v>28</v>
      </c>
      <c r="K18" s="7" t="n">
        <f aca="false">SUM(K7:K8)</f>
        <v>88.878416328</v>
      </c>
      <c r="L18" s="7" t="n">
        <f aca="false">SUM(L7:L8)</f>
        <v>248.7951091794</v>
      </c>
      <c r="M18" s="7"/>
      <c r="N18" s="7" t="s">
        <v>27</v>
      </c>
      <c r="O18" s="7" t="n">
        <v>41.7936069540154</v>
      </c>
      <c r="P18" s="7" t="n">
        <v>41.7936069540154</v>
      </c>
      <c r="Q18" s="7"/>
      <c r="R18" s="7" t="s">
        <v>30</v>
      </c>
      <c r="S18" s="7" t="n">
        <v>135.04183630893</v>
      </c>
      <c r="T18" s="12" t="n">
        <v>109.906244968219</v>
      </c>
      <c r="U18" s="7"/>
      <c r="V18" s="7"/>
      <c r="W18" s="7"/>
      <c r="X18" s="7"/>
    </row>
    <row r="19" customFormat="false" ht="13.8" hidden="false" customHeight="false" outlineLevel="0" collapsed="false">
      <c r="F19" s="7" t="s">
        <v>30</v>
      </c>
      <c r="G19" s="7" t="n">
        <f aca="false">SUM(G7:G8)</f>
        <v>1914.99746299993</v>
      </c>
      <c r="H19" s="7" t="n">
        <f aca="false">SUM(H7:H8)</f>
        <v>2155.60512008268</v>
      </c>
      <c r="I19" s="7"/>
      <c r="J19" s="7" t="s">
        <v>30</v>
      </c>
      <c r="K19" s="7" t="n">
        <f aca="false">SUM(K9:K10)</f>
        <v>2955.33492521529</v>
      </c>
      <c r="L19" s="7" t="n">
        <f aca="false">SUM(L9:L10)</f>
        <v>2349.06278270413</v>
      </c>
      <c r="M19" s="7"/>
      <c r="N19" s="7" t="s">
        <v>28</v>
      </c>
      <c r="O19" s="7" t="n">
        <f aca="false">SUM(O7:O8)</f>
        <v>920.051629628667</v>
      </c>
      <c r="P19" s="7" t="n">
        <f aca="false">SUM(P7:P8)</f>
        <v>2843.77930267024</v>
      </c>
      <c r="Q19" s="7"/>
      <c r="R19" s="7" t="s">
        <v>15</v>
      </c>
      <c r="S19" s="7" t="n">
        <f aca="false">(8760*$S24*'alternativo-potencia'!R11)/1000</f>
        <v>9.0907776</v>
      </c>
      <c r="T19" s="7" t="n">
        <f aca="false">(8760*$S24*'alternativo-potencia'!S11)/1000</f>
        <v>210.471264</v>
      </c>
      <c r="U19" s="7"/>
      <c r="V19" s="7"/>
      <c r="W19" s="7"/>
      <c r="X19" s="7"/>
    </row>
    <row r="20" customFormat="false" ht="13.8" hidden="false" customHeight="false" outlineLevel="0" collapsed="false">
      <c r="F20" s="7" t="s">
        <v>15</v>
      </c>
      <c r="G20" s="7" t="n">
        <f aca="false">(8760*$G24*'alternativo-potencia'!F11)/1000</f>
        <v>21.402432</v>
      </c>
      <c r="H20" s="7" t="n">
        <f aca="false">(8760*$G24*'alternativo-potencia'!G11)/1000</f>
        <v>491.364168</v>
      </c>
      <c r="I20" s="7"/>
      <c r="J20" s="7" t="s">
        <v>15</v>
      </c>
      <c r="K20" s="7" t="n">
        <f aca="false">(8760*$K24*'alternativo-potencia'!J13)/1000</f>
        <v>15.8647104</v>
      </c>
      <c r="L20" s="7" t="n">
        <f aca="false">(8760*$K24*'alternativo-potencia'!K13)/1000</f>
        <v>361.8664896</v>
      </c>
      <c r="M20" s="7"/>
      <c r="N20" s="7" t="s">
        <v>30</v>
      </c>
      <c r="O20" s="7" t="n">
        <v>0</v>
      </c>
      <c r="P20" s="7" t="n">
        <v>3607.62533284165</v>
      </c>
      <c r="Q20" s="7"/>
      <c r="R20" s="7" t="s">
        <v>12</v>
      </c>
      <c r="S20" s="7" t="n">
        <f aca="false">SUM(S15:S19)</f>
        <v>1946.39743144151</v>
      </c>
      <c r="T20" s="7" t="n">
        <f aca="false">SUM(T15:T19)</f>
        <v>3633.95952319965</v>
      </c>
      <c r="U20" s="7"/>
      <c r="V20" s="7"/>
      <c r="W20" s="7"/>
      <c r="X20" s="7"/>
    </row>
    <row r="21" customFormat="false" ht="13.8" hidden="false" customHeight="false" outlineLevel="0" collapsed="false">
      <c r="F21" s="7" t="s">
        <v>12</v>
      </c>
      <c r="G21" s="7" t="n">
        <f aca="false">SUM(G15:G20)</f>
        <v>2512.56960964611</v>
      </c>
      <c r="H21" s="7" t="n">
        <f aca="false">SUM(H15:H20)</f>
        <v>3401.12961264753</v>
      </c>
      <c r="I21" s="7"/>
      <c r="J21" s="7" t="s">
        <v>12</v>
      </c>
      <c r="K21" s="7" t="n">
        <f aca="false">SUM(K15:K20)</f>
        <v>3269.04608671336</v>
      </c>
      <c r="L21" s="7" t="n">
        <f aca="false">SUM(L15:L20)</f>
        <v>5305.32166343233</v>
      </c>
      <c r="M21" s="7"/>
      <c r="N21" s="7" t="s">
        <v>15</v>
      </c>
      <c r="O21" s="7" t="n">
        <f aca="false">(8760*$O24*'alternativo-potencia'!N12)/1000</f>
        <v>29.813784</v>
      </c>
      <c r="P21" s="7" t="n">
        <f aca="false">(8760*$O24*'alternativo-potencia'!O12)/1000</f>
        <v>683.16612</v>
      </c>
      <c r="Q21" s="7"/>
      <c r="R21" s="7"/>
      <c r="S21" s="7"/>
      <c r="T21" s="7"/>
      <c r="U21" s="7"/>
      <c r="V21" s="7"/>
      <c r="W21" s="7"/>
      <c r="X21" s="7"/>
    </row>
    <row r="22" customFormat="false" ht="13.8" hidden="false" customHeight="false" outlineLevel="0" collapsed="false">
      <c r="F22" s="7"/>
      <c r="G22" s="7"/>
      <c r="H22" s="7"/>
      <c r="I22" s="7"/>
      <c r="J22" s="7"/>
      <c r="K22" s="7"/>
      <c r="L22" s="7"/>
      <c r="M22" s="7"/>
      <c r="N22" s="7" t="s">
        <v>12</v>
      </c>
      <c r="O22" s="7" t="n">
        <f aca="false">SUM(O16:O21)</f>
        <v>3467.7192987986</v>
      </c>
      <c r="P22" s="7" t="n">
        <f aca="false">SUM(P16:P21)</f>
        <v>9734.2120632784</v>
      </c>
      <c r="Q22" s="7"/>
      <c r="R22" s="7"/>
      <c r="S22" s="7"/>
      <c r="T22" s="7"/>
      <c r="U22" s="7"/>
      <c r="V22" s="7"/>
      <c r="W22" s="7"/>
      <c r="X22" s="7"/>
    </row>
    <row r="24" customFormat="false" ht="13.8" hidden="false" customHeight="false" outlineLevel="0" collapsed="false">
      <c r="F24" s="7" t="s">
        <v>36</v>
      </c>
      <c r="G24" s="0" t="n">
        <v>0.2036</v>
      </c>
      <c r="J24" s="7" t="s">
        <v>36</v>
      </c>
      <c r="K24" s="0" t="n">
        <v>0.2156</v>
      </c>
      <c r="N24" s="7" t="s">
        <v>36</v>
      </c>
      <c r="O24" s="0" t="n">
        <v>0.182</v>
      </c>
      <c r="R24" s="7" t="s">
        <v>36</v>
      </c>
      <c r="S24" s="0" t="n">
        <v>0.2256</v>
      </c>
      <c r="V24" s="7" t="s">
        <v>36</v>
      </c>
      <c r="W24" s="0" t="n">
        <v>0.159</v>
      </c>
    </row>
  </sheetData>
  <mergeCells count="10">
    <mergeCell ref="G1:H1"/>
    <mergeCell ref="K1:L1"/>
    <mergeCell ref="O1:P1"/>
    <mergeCell ref="S1:T1"/>
    <mergeCell ref="W1:X1"/>
    <mergeCell ref="G13:H13"/>
    <mergeCell ref="K13:L13"/>
    <mergeCell ref="O13:P13"/>
    <mergeCell ref="S13:T13"/>
    <mergeCell ref="W13:X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2025-10-31T18:53:51Z</dcterms:created>
  <dc:creator>Emilio</dc:creator>
  <dc:description/>
  <dc:language>es-AR</dc:language>
  <cp:lastModifiedBy/>
  <dcterms:modified xsi:type="dcterms:W3CDTF">2025-11-11T11:42:27Z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