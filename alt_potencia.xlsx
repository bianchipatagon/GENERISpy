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lternativo-potencia" sheetId="1" state="visible" r:id="rId2"/>
    <sheet name="Tendencial-potencia" sheetId="2" state="visible" r:id="rId3"/>
    <sheet name="Tendencial Generacion" sheetId="3" state="visible" r:id="rId4"/>
    <sheet name="Alternativo-Generación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<sst xmlns="http://schemas.openxmlformats.org/spreadsheetml/2006/main" count="339" uniqueCount="34">
  <si>
    <t xml:space="preserve">Norte</t>
  </si>
  <si>
    <t xml:space="preserve">Centro</t>
  </si>
  <si>
    <t xml:space="preserve">Oriente</t>
  </si>
  <si>
    <t xml:space="preserve">Sur</t>
  </si>
  <si>
    <t xml:space="preserve">Pando</t>
  </si>
  <si>
    <t xml:space="preserve">Region</t>
  </si>
  <si>
    <t xml:space="preserve">Falla</t>
  </si>
  <si>
    <t xml:space="preserve">TG_ex</t>
  </si>
  <si>
    <t xml:space="preserve">Motor Dual_ex</t>
  </si>
  <si>
    <t xml:space="preserve">Central</t>
  </si>
  <si>
    <t xml:space="preserve">TV_ex</t>
  </si>
  <si>
    <t xml:space="preserve">CC_ex</t>
  </si>
  <si>
    <t xml:space="preserve">Total</t>
  </si>
  <si>
    <t xml:space="preserve">Oriental</t>
  </si>
  <si>
    <t xml:space="preserve">Solar_ex</t>
  </si>
  <si>
    <t xml:space="preserve">SD</t>
  </si>
  <si>
    <t xml:space="preserve">Solar_nv</t>
  </si>
  <si>
    <t xml:space="preserve">Hidroelectrica_ex</t>
  </si>
  <si>
    <t xml:space="preserve">Eolica_ex</t>
  </si>
  <si>
    <t xml:space="preserve">Hidro Otras</t>
  </si>
  <si>
    <t xml:space="preserve">Eolica_nuevas_SC</t>
  </si>
  <si>
    <t xml:space="preserve">Hidro Rositas</t>
  </si>
  <si>
    <t xml:space="preserve">TG</t>
  </si>
  <si>
    <t xml:space="preserve">Motor</t>
  </si>
  <si>
    <t xml:space="preserve">TV</t>
  </si>
  <si>
    <t xml:space="preserve">CC</t>
  </si>
  <si>
    <t xml:space="preserve">Solar Dist</t>
  </si>
  <si>
    <t xml:space="preserve">Solar</t>
  </si>
  <si>
    <t xml:space="preserve">Eolica</t>
  </si>
  <si>
    <t xml:space="preserve">Solar dist</t>
  </si>
  <si>
    <t xml:space="preserve">Hidro</t>
  </si>
  <si>
    <t xml:space="preserve">TG_nv</t>
  </si>
  <si>
    <t xml:space="preserve">Solar Dist.</t>
  </si>
  <si>
    <t xml:space="preserve">fc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</si>
</sst>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 * #,##0.000_ ;_ * \-#,##0.000_ ;_ * \-??_ ;_ @_ "/>
    <numFmt numFmtId="167" formatCode="0.0"/>
    <numFmt numFmtId="168" formatCode="#,##0.0_ ;\-#,##0.0\ 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E2EDFA"/>
        <bgColor rgb="FFCCFFFF"/>
      </patternFill>
    </fill>
    <fill>
      <patternFill patternType="solid">
        <fgColor rgb="FFABABAB"/>
        <bgColor rgb="FF969696"/>
      </patternFill>
    </fill>
    <fill>
      <patternFill patternType="solid">
        <fgColor rgb="FF575757"/>
        <bgColor rgb="FF333333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E2ED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575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6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U6" activeCellId="1" sqref="D4:D8 U6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1"/>
      <c r="E1" s="1"/>
      <c r="F1" s="2" t="s">
        <v>0</v>
      </c>
      <c r="G1" s="2"/>
      <c r="H1" s="1"/>
      <c r="I1" s="1"/>
      <c r="J1" s="2" t="s">
        <v>1</v>
      </c>
      <c r="K1" s="2"/>
      <c r="L1" s="1"/>
      <c r="M1" s="1"/>
      <c r="N1" s="2" t="s">
        <v>2</v>
      </c>
      <c r="O1" s="2"/>
      <c r="P1" s="1"/>
      <c r="Q1" s="1"/>
      <c r="R1" s="2" t="s">
        <v>3</v>
      </c>
      <c r="S1" s="2"/>
      <c r="T1" s="1"/>
      <c r="U1" s="1"/>
      <c r="V1" s="2" t="s">
        <v>4</v>
      </c>
      <c r="W1" s="2"/>
    </row>
    <row r="2" customFormat="false" ht="15" hidden="false" customHeight="false" outlineLevel="0" collapsed="false">
      <c r="A2" s="1"/>
      <c r="B2" s="1"/>
      <c r="C2" s="1"/>
      <c r="D2" s="1"/>
      <c r="E2" s="1"/>
      <c r="F2" s="1" t="n">
        <v>2025</v>
      </c>
      <c r="G2" s="1" t="n">
        <v>2050</v>
      </c>
      <c r="H2" s="1"/>
      <c r="I2" s="1"/>
      <c r="J2" s="1" t="n">
        <v>2025</v>
      </c>
      <c r="K2" s="1" t="n">
        <v>2050</v>
      </c>
      <c r="L2" s="1"/>
      <c r="M2" s="1"/>
      <c r="N2" s="1" t="n">
        <v>2025</v>
      </c>
      <c r="O2" s="1" t="n">
        <v>2050</v>
      </c>
      <c r="P2" s="1"/>
      <c r="Q2" s="1"/>
      <c r="R2" s="1" t="n">
        <v>2025</v>
      </c>
      <c r="S2" s="1" t="n">
        <v>2050</v>
      </c>
      <c r="T2" s="1"/>
      <c r="U2" s="1"/>
      <c r="V2" s="1" t="n">
        <v>2025</v>
      </c>
      <c r="W2" s="1" t="n">
        <v>2050</v>
      </c>
    </row>
    <row r="3" customFormat="false" ht="15" hidden="false" customHeight="false" outlineLevel="0" collapsed="false">
      <c r="A3" s="1" t="s">
        <v>5</v>
      </c>
      <c r="B3" s="1" t="n">
        <v>2025</v>
      </c>
      <c r="C3" s="1" t="n">
        <v>2050</v>
      </c>
      <c r="D3" s="1"/>
      <c r="E3" s="1" t="s">
        <v>6</v>
      </c>
      <c r="F3" s="3" t="n">
        <v>40</v>
      </c>
      <c r="G3" s="3" t="n">
        <v>40</v>
      </c>
      <c r="H3" s="1"/>
      <c r="I3" s="1" t="s">
        <v>6</v>
      </c>
      <c r="J3" s="3" t="n">
        <v>50</v>
      </c>
      <c r="K3" s="3" t="n">
        <v>50</v>
      </c>
      <c r="L3" s="1"/>
      <c r="M3" s="1" t="s">
        <v>6</v>
      </c>
      <c r="N3" s="3" t="n">
        <v>20</v>
      </c>
      <c r="O3" s="3" t="n">
        <v>20</v>
      </c>
      <c r="P3" s="1"/>
      <c r="Q3" s="1" t="s">
        <v>6</v>
      </c>
      <c r="R3" s="3" t="n">
        <v>55</v>
      </c>
      <c r="S3" s="3" t="n">
        <v>55</v>
      </c>
      <c r="T3" s="1"/>
      <c r="U3" s="1" t="s">
        <v>6</v>
      </c>
      <c r="V3" s="3" t="n">
        <v>6.5</v>
      </c>
      <c r="W3" s="3" t="n">
        <v>6.5</v>
      </c>
    </row>
    <row r="4" customFormat="false" ht="15" hidden="false" customHeight="false" outlineLevel="0" collapsed="false">
      <c r="A4" s="1" t="s">
        <v>0</v>
      </c>
      <c r="B4" s="3" t="n">
        <v>630.8</v>
      </c>
      <c r="C4" s="3" t="n">
        <v>1213.3</v>
      </c>
      <c r="D4" s="1"/>
      <c r="E4" s="1" t="s">
        <v>7</v>
      </c>
      <c r="F4" s="3" t="n">
        <v>50.3</v>
      </c>
      <c r="G4" s="3" t="n">
        <v>50.3</v>
      </c>
      <c r="H4" s="1"/>
      <c r="I4" s="1" t="s">
        <v>7</v>
      </c>
      <c r="J4" s="3" t="n">
        <v>419.8</v>
      </c>
      <c r="K4" s="3" t="n">
        <v>419.8</v>
      </c>
      <c r="L4" s="1"/>
      <c r="M4" s="1" t="s">
        <v>7</v>
      </c>
      <c r="N4" s="3" t="n">
        <v>235</v>
      </c>
      <c r="O4" s="3" t="n">
        <v>235</v>
      </c>
      <c r="P4" s="1"/>
      <c r="Q4" s="1" t="s">
        <v>7</v>
      </c>
      <c r="R4" s="3" t="n">
        <v>36.2</v>
      </c>
      <c r="S4" s="3" t="n">
        <v>36.2</v>
      </c>
      <c r="T4" s="1"/>
      <c r="U4" s="1" t="s">
        <v>8</v>
      </c>
      <c r="V4" s="3" t="n">
        <v>65.8</v>
      </c>
      <c r="W4" s="3" t="n">
        <v>65.8</v>
      </c>
    </row>
    <row r="5" customFormat="false" ht="15" hidden="false" customHeight="false" outlineLevel="0" collapsed="false">
      <c r="A5" s="1" t="s">
        <v>9</v>
      </c>
      <c r="B5" s="3" t="n">
        <v>1646.7</v>
      </c>
      <c r="C5" s="3" t="n">
        <v>2468.9</v>
      </c>
      <c r="D5" s="1"/>
      <c r="E5" s="1" t="s">
        <v>10</v>
      </c>
      <c r="F5" s="3" t="n">
        <v>15</v>
      </c>
      <c r="G5" s="3" t="n">
        <v>15</v>
      </c>
      <c r="H5" s="1"/>
      <c r="I5" s="1" t="s">
        <v>11</v>
      </c>
      <c r="J5" s="3" t="n">
        <v>480</v>
      </c>
      <c r="K5" s="3" t="n">
        <v>480</v>
      </c>
      <c r="L5" s="1"/>
      <c r="M5" s="1" t="s">
        <v>10</v>
      </c>
      <c r="N5" s="3" t="n">
        <v>84.3</v>
      </c>
      <c r="O5" s="3" t="n">
        <v>84.3</v>
      </c>
      <c r="P5" s="1"/>
      <c r="Q5" s="1" t="s">
        <v>8</v>
      </c>
      <c r="R5" s="3" t="n">
        <v>0</v>
      </c>
      <c r="S5" s="3" t="n">
        <v>0</v>
      </c>
      <c r="T5" s="1"/>
      <c r="U5" s="1" t="s">
        <v>12</v>
      </c>
      <c r="V5" s="3" t="n">
        <v>72.3</v>
      </c>
      <c r="W5" s="3" t="n">
        <v>72.3</v>
      </c>
    </row>
    <row r="6" customFormat="false" ht="15" hidden="false" customHeight="false" outlineLevel="0" collapsed="false">
      <c r="A6" s="1" t="s">
        <v>13</v>
      </c>
      <c r="B6" s="3" t="n">
        <v>1363</v>
      </c>
      <c r="C6" s="3" t="n">
        <v>2952.8</v>
      </c>
      <c r="D6" s="1"/>
      <c r="E6" s="1" t="s">
        <v>8</v>
      </c>
      <c r="F6" s="3" t="n">
        <v>37.8</v>
      </c>
      <c r="G6" s="3" t="n">
        <v>37.8</v>
      </c>
      <c r="H6" s="1"/>
      <c r="I6" s="1" t="s">
        <v>14</v>
      </c>
      <c r="J6" s="3" t="n">
        <v>100</v>
      </c>
      <c r="K6" s="3" t="n">
        <v>100</v>
      </c>
      <c r="L6" s="1"/>
      <c r="M6" s="1" t="s">
        <v>11</v>
      </c>
      <c r="N6" s="3" t="n">
        <v>736</v>
      </c>
      <c r="O6" s="3" t="n">
        <v>736</v>
      </c>
      <c r="P6" s="1"/>
      <c r="Q6" s="1" t="s">
        <v>11</v>
      </c>
      <c r="R6" s="3" t="n">
        <v>508.5</v>
      </c>
      <c r="S6" s="3" t="n">
        <v>508.5</v>
      </c>
      <c r="T6" s="1"/>
      <c r="U6" s="1" t="s">
        <v>15</v>
      </c>
      <c r="V6" s="1" t="n">
        <v>0.4</v>
      </c>
      <c r="W6" s="1" t="n">
        <v>10</v>
      </c>
    </row>
    <row r="7" customFormat="false" ht="15" hidden="false" customHeight="false" outlineLevel="0" collapsed="false">
      <c r="A7" s="1" t="s">
        <v>3</v>
      </c>
      <c r="B7" s="3" t="n">
        <v>643.6</v>
      </c>
      <c r="C7" s="3" t="n">
        <v>1375.5</v>
      </c>
      <c r="D7" s="1"/>
      <c r="E7" s="1" t="s">
        <v>16</v>
      </c>
      <c r="F7" s="3" t="n">
        <v>120</v>
      </c>
      <c r="G7" s="3" t="n">
        <v>320</v>
      </c>
      <c r="H7" s="1"/>
      <c r="I7" s="1" t="s">
        <v>16</v>
      </c>
      <c r="J7" s="3" t="n">
        <v>0</v>
      </c>
      <c r="K7" s="3" t="n">
        <v>588</v>
      </c>
      <c r="L7" s="1"/>
      <c r="M7" s="1" t="s">
        <v>16</v>
      </c>
      <c r="N7" s="3" t="n">
        <v>20</v>
      </c>
      <c r="O7" s="3" t="n">
        <v>20</v>
      </c>
      <c r="P7" s="1"/>
      <c r="Q7" s="1" t="s">
        <v>14</v>
      </c>
      <c r="R7" s="3" t="n">
        <v>64</v>
      </c>
      <c r="S7" s="3" t="n">
        <v>64</v>
      </c>
      <c r="T7" s="1"/>
      <c r="U7" s="1"/>
      <c r="V7" s="1"/>
      <c r="W7" s="1"/>
    </row>
    <row r="8" customFormat="false" ht="15" hidden="false" customHeight="false" outlineLevel="0" collapsed="false">
      <c r="A8" s="1" t="s">
        <v>4</v>
      </c>
      <c r="B8" s="3" t="n">
        <v>66.2</v>
      </c>
      <c r="C8" s="3" t="n">
        <v>75.8</v>
      </c>
      <c r="D8" s="1"/>
      <c r="E8" s="1" t="s">
        <v>17</v>
      </c>
      <c r="F8" s="3" t="n">
        <v>309.7</v>
      </c>
      <c r="G8" s="3" t="n">
        <v>309.7</v>
      </c>
      <c r="H8" s="1"/>
      <c r="I8" s="1" t="s">
        <v>18</v>
      </c>
      <c r="J8" s="3" t="n">
        <v>27</v>
      </c>
      <c r="K8" s="3" t="n">
        <v>27</v>
      </c>
      <c r="L8" s="1"/>
      <c r="M8" s="1" t="s">
        <v>18</v>
      </c>
      <c r="N8" s="3" t="n">
        <v>108</v>
      </c>
      <c r="O8" s="3" t="n">
        <v>108</v>
      </c>
      <c r="P8" s="1"/>
      <c r="Q8" s="1" t="s">
        <v>16</v>
      </c>
      <c r="R8" s="3" t="n">
        <v>2.4</v>
      </c>
      <c r="S8" s="3" t="n">
        <v>632.4</v>
      </c>
      <c r="T8" s="1"/>
      <c r="U8" s="1"/>
      <c r="V8" s="1"/>
      <c r="W8" s="1"/>
    </row>
    <row r="9" customFormat="false" ht="15" hidden="false" customHeight="false" outlineLevel="0" collapsed="false">
      <c r="A9" s="1"/>
      <c r="B9" s="3" t="n">
        <f aca="false">SUM(B4:B8)</f>
        <v>4350.3</v>
      </c>
      <c r="C9" s="3" t="n">
        <f aca="false">SUM(C4:C8)</f>
        <v>8086.3</v>
      </c>
      <c r="D9" s="1"/>
      <c r="E9" s="1" t="s">
        <v>19</v>
      </c>
      <c r="F9" s="3" t="n">
        <v>86</v>
      </c>
      <c r="G9" s="3" t="n">
        <v>205</v>
      </c>
      <c r="H9" s="1"/>
      <c r="I9" s="1" t="s">
        <v>20</v>
      </c>
      <c r="J9" s="3" t="n">
        <v>0</v>
      </c>
      <c r="K9" s="3" t="n">
        <v>51</v>
      </c>
      <c r="L9" s="1"/>
      <c r="M9" s="1" t="s">
        <v>20</v>
      </c>
      <c r="N9" s="3" t="n">
        <v>161</v>
      </c>
      <c r="O9" s="3" t="n">
        <v>741</v>
      </c>
      <c r="P9" s="1"/>
      <c r="Q9" s="1" t="s">
        <v>17</v>
      </c>
      <c r="R9" s="3" t="n">
        <v>27.9</v>
      </c>
      <c r="S9" s="3" t="n">
        <v>27.9</v>
      </c>
      <c r="T9" s="1"/>
      <c r="U9" s="1"/>
      <c r="V9" s="1"/>
      <c r="W9" s="1"/>
    </row>
    <row r="10" customFormat="false" ht="15" hidden="false" customHeight="false" outlineLevel="0" collapsed="false">
      <c r="A10" s="1"/>
      <c r="B10" s="1"/>
      <c r="C10" s="1"/>
      <c r="D10" s="1"/>
      <c r="E10" s="1" t="s">
        <v>12</v>
      </c>
      <c r="F10" s="3" t="n">
        <v>658.8</v>
      </c>
      <c r="G10" s="3" t="n">
        <v>977.8</v>
      </c>
      <c r="H10" s="1"/>
      <c r="I10" s="1" t="s">
        <v>17</v>
      </c>
      <c r="J10" s="3" t="n">
        <v>420.5</v>
      </c>
      <c r="K10" s="3" t="n">
        <v>420.5</v>
      </c>
      <c r="L10" s="1"/>
      <c r="M10" s="1" t="s">
        <v>21</v>
      </c>
      <c r="N10" s="3" t="n">
        <v>0</v>
      </c>
      <c r="O10" s="3" t="n">
        <v>600</v>
      </c>
      <c r="P10" s="1"/>
      <c r="Q10" s="1" t="s">
        <v>12</v>
      </c>
      <c r="R10" s="3" t="n">
        <v>694</v>
      </c>
      <c r="S10" s="3" t="n">
        <v>1324</v>
      </c>
      <c r="T10" s="1"/>
      <c r="U10" s="1"/>
      <c r="V10" s="1"/>
      <c r="W10" s="1"/>
    </row>
    <row r="11" customFormat="false" ht="15" hidden="false" customHeight="false" outlineLevel="0" collapsed="false">
      <c r="A11" s="1"/>
      <c r="B11" s="1"/>
      <c r="C11" s="1"/>
      <c r="D11" s="1"/>
      <c r="E11" s="1" t="s">
        <v>15</v>
      </c>
      <c r="F11" s="1" t="n">
        <v>12</v>
      </c>
      <c r="G11" s="1" t="n">
        <v>275.5</v>
      </c>
      <c r="H11" s="1"/>
      <c r="I11" s="1" t="s">
        <v>19</v>
      </c>
      <c r="J11" s="3" t="n">
        <v>291</v>
      </c>
      <c r="K11" s="3" t="n">
        <v>291</v>
      </c>
      <c r="L11" s="1"/>
      <c r="M11" s="1" t="s">
        <v>12</v>
      </c>
      <c r="N11" s="3" t="n">
        <v>1364.3</v>
      </c>
      <c r="O11" s="3" t="n">
        <v>2544.3</v>
      </c>
      <c r="P11" s="1"/>
      <c r="Q11" s="1" t="s">
        <v>15</v>
      </c>
      <c r="R11" s="3" t="n">
        <v>4.6</v>
      </c>
      <c r="S11" s="1" t="n">
        <v>106.5</v>
      </c>
      <c r="T11" s="1"/>
      <c r="U11" s="1"/>
      <c r="V11" s="1"/>
      <c r="W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 t="s">
        <v>12</v>
      </c>
      <c r="J12" s="3" t="n">
        <v>1788.3</v>
      </c>
      <c r="K12" s="3" t="n">
        <v>2427.3</v>
      </c>
      <c r="L12" s="1"/>
      <c r="M12" s="1" t="s">
        <v>15</v>
      </c>
      <c r="N12" s="1" t="n">
        <v>18.7</v>
      </c>
      <c r="O12" s="1" t="n">
        <v>428.5</v>
      </c>
      <c r="P12" s="1"/>
      <c r="Q12" s="1"/>
      <c r="R12" s="1"/>
      <c r="S12" s="1"/>
      <c r="T12" s="1"/>
      <c r="U12" s="1"/>
      <c r="V12" s="1"/>
      <c r="W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 t="s">
        <v>15</v>
      </c>
      <c r="J13" s="1" t="n">
        <v>8.4</v>
      </c>
      <c r="K13" s="1" t="n">
        <v>191.6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2" t="s">
        <v>0</v>
      </c>
      <c r="G17" s="2"/>
      <c r="H17" s="1"/>
      <c r="I17" s="1"/>
      <c r="J17" s="2" t="s">
        <v>1</v>
      </c>
      <c r="K17" s="2"/>
      <c r="L17" s="1"/>
      <c r="M17" s="1"/>
      <c r="N17" s="2" t="s">
        <v>2</v>
      </c>
      <c r="O17" s="2"/>
      <c r="P17" s="1"/>
      <c r="Q17" s="1"/>
      <c r="R17" s="2" t="s">
        <v>3</v>
      </c>
      <c r="S17" s="2"/>
      <c r="T17" s="1"/>
      <c r="U17" s="1"/>
      <c r="V17" s="2" t="s">
        <v>4</v>
      </c>
      <c r="W17" s="2"/>
    </row>
    <row r="18" customFormat="false" ht="15" hidden="false" customHeight="false" outlineLevel="0" collapsed="false">
      <c r="A18" s="1"/>
      <c r="B18" s="1"/>
      <c r="C18" s="1"/>
      <c r="D18" s="1"/>
      <c r="E18" s="1"/>
      <c r="F18" s="1" t="n">
        <v>2025</v>
      </c>
      <c r="G18" s="1" t="n">
        <v>2050</v>
      </c>
      <c r="H18" s="1"/>
      <c r="I18" s="1"/>
      <c r="J18" s="1" t="n">
        <v>2025</v>
      </c>
      <c r="K18" s="1" t="n">
        <v>2050</v>
      </c>
      <c r="L18" s="1"/>
      <c r="M18" s="1"/>
      <c r="N18" s="1" t="n">
        <v>2025</v>
      </c>
      <c r="O18" s="1" t="n">
        <v>2050</v>
      </c>
      <c r="P18" s="1"/>
      <c r="Q18" s="1"/>
      <c r="R18" s="1" t="n">
        <v>2025</v>
      </c>
      <c r="S18" s="1" t="n">
        <v>2050</v>
      </c>
      <c r="T18" s="1"/>
      <c r="U18" s="1"/>
      <c r="V18" s="1" t="n">
        <v>2025</v>
      </c>
      <c r="W18" s="1" t="n">
        <v>2050</v>
      </c>
    </row>
    <row r="19" customFormat="false" ht="15" hidden="false" customHeight="false" outlineLevel="0" collapsed="false">
      <c r="E19" s="0" t="s">
        <v>22</v>
      </c>
      <c r="F19" s="3" t="n">
        <v>50.3</v>
      </c>
      <c r="G19" s="3" t="n">
        <v>50.3</v>
      </c>
      <c r="I19" s="0" t="s">
        <v>22</v>
      </c>
      <c r="J19" s="3" t="n">
        <v>419.8</v>
      </c>
      <c r="K19" s="3" t="n">
        <v>419.8</v>
      </c>
      <c r="M19" s="0" t="s">
        <v>22</v>
      </c>
      <c r="N19" s="3" t="n">
        <v>235</v>
      </c>
      <c r="O19" s="3" t="n">
        <v>235</v>
      </c>
      <c r="Q19" s="0" t="s">
        <v>22</v>
      </c>
      <c r="R19" s="3" t="n">
        <v>36.2</v>
      </c>
      <c r="S19" s="3" t="n">
        <v>36.2</v>
      </c>
      <c r="U19" s="0" t="s">
        <v>23</v>
      </c>
      <c r="V19" s="3" t="n">
        <v>65.8</v>
      </c>
      <c r="W19" s="3" t="n">
        <v>65.8</v>
      </c>
    </row>
    <row r="20" customFormat="false" ht="15" hidden="false" customHeight="false" outlineLevel="0" collapsed="false">
      <c r="E20" s="0" t="s">
        <v>24</v>
      </c>
      <c r="F20" s="3" t="n">
        <v>15</v>
      </c>
      <c r="G20" s="3" t="n">
        <v>15</v>
      </c>
      <c r="I20" s="0" t="s">
        <v>25</v>
      </c>
      <c r="J20" s="3" t="n">
        <v>480</v>
      </c>
      <c r="K20" s="3" t="n">
        <v>480</v>
      </c>
      <c r="M20" s="0" t="s">
        <v>24</v>
      </c>
      <c r="N20" s="3" t="n">
        <v>84.3</v>
      </c>
      <c r="O20" s="3" t="n">
        <v>84.3</v>
      </c>
      <c r="Q20" s="0" t="s">
        <v>25</v>
      </c>
      <c r="R20" s="3" t="n">
        <v>508.5</v>
      </c>
      <c r="S20" s="3" t="n">
        <v>508.5</v>
      </c>
      <c r="U20" s="0" t="s">
        <v>26</v>
      </c>
      <c r="V20" s="1" t="n">
        <v>0.4</v>
      </c>
      <c r="W20" s="1" t="n">
        <v>10</v>
      </c>
    </row>
    <row r="21" customFormat="false" ht="15" hidden="false" customHeight="false" outlineLevel="0" collapsed="false">
      <c r="E21" s="0" t="s">
        <v>23</v>
      </c>
      <c r="F21" s="3" t="n">
        <v>37.8</v>
      </c>
      <c r="G21" s="3" t="n">
        <v>37.8</v>
      </c>
      <c r="I21" s="0" t="s">
        <v>27</v>
      </c>
      <c r="J21" s="3" t="n">
        <v>0</v>
      </c>
      <c r="K21" s="3" t="n">
        <v>588</v>
      </c>
      <c r="M21" s="0" t="s">
        <v>25</v>
      </c>
      <c r="N21" s="3" t="n">
        <v>736</v>
      </c>
      <c r="O21" s="3" t="n">
        <v>736</v>
      </c>
      <c r="Q21" s="0" t="s">
        <v>27</v>
      </c>
      <c r="R21" s="4" t="n">
        <f aca="false">SUM(R7:R8)</f>
        <v>66.4</v>
      </c>
      <c r="S21" s="4" t="n">
        <f aca="false">SUM(S7:S8)</f>
        <v>696.4</v>
      </c>
      <c r="U21" s="0" t="s">
        <v>12</v>
      </c>
      <c r="V21" s="4" t="n">
        <f aca="false">SUM(V19:V20)</f>
        <v>66.2</v>
      </c>
      <c r="W21" s="4" t="n">
        <f aca="false">SUM(W19:W20)</f>
        <v>75.8</v>
      </c>
    </row>
    <row r="22" customFormat="false" ht="15" hidden="false" customHeight="false" outlineLevel="0" collapsed="false">
      <c r="E22" s="0" t="s">
        <v>27</v>
      </c>
      <c r="F22" s="3" t="n">
        <v>120</v>
      </c>
      <c r="G22" s="3" t="n">
        <v>320</v>
      </c>
      <c r="I22" s="0" t="s">
        <v>26</v>
      </c>
      <c r="J22" s="1" t="n">
        <v>8.4</v>
      </c>
      <c r="K22" s="1" t="n">
        <v>191.6</v>
      </c>
      <c r="M22" s="0" t="s">
        <v>27</v>
      </c>
      <c r="N22" s="3" t="n">
        <v>20</v>
      </c>
      <c r="O22" s="3" t="n">
        <v>20</v>
      </c>
      <c r="Q22" s="0" t="s">
        <v>26</v>
      </c>
      <c r="R22" s="3" t="n">
        <v>4.6</v>
      </c>
      <c r="S22" s="1" t="n">
        <v>106.5</v>
      </c>
    </row>
    <row r="23" customFormat="false" ht="15" hidden="false" customHeight="false" outlineLevel="0" collapsed="false">
      <c r="E23" s="0" t="s">
        <v>26</v>
      </c>
      <c r="F23" s="1" t="n">
        <v>12</v>
      </c>
      <c r="G23" s="1" t="n">
        <v>275.5</v>
      </c>
      <c r="I23" s="0" t="s">
        <v>28</v>
      </c>
      <c r="J23" s="4" t="n">
        <f aca="false">SUM(J8:J9)</f>
        <v>27</v>
      </c>
      <c r="K23" s="4" t="n">
        <f aca="false">SUM(K8:K9)</f>
        <v>78</v>
      </c>
      <c r="M23" s="0" t="s">
        <v>29</v>
      </c>
      <c r="N23" s="1" t="n">
        <v>18.7</v>
      </c>
      <c r="O23" s="1" t="n">
        <v>428.5</v>
      </c>
      <c r="Q23" s="0" t="s">
        <v>30</v>
      </c>
      <c r="R23" s="3" t="n">
        <v>27.9</v>
      </c>
      <c r="S23" s="3" t="n">
        <v>27.9</v>
      </c>
    </row>
    <row r="24" customFormat="false" ht="15" hidden="false" customHeight="false" outlineLevel="0" collapsed="false">
      <c r="E24" s="0" t="s">
        <v>30</v>
      </c>
      <c r="F24" s="4" t="n">
        <f aca="false">SUM(F8:F9)</f>
        <v>395.7</v>
      </c>
      <c r="G24" s="4" t="n">
        <f aca="false">SUM(G8:G9)</f>
        <v>514.7</v>
      </c>
      <c r="I24" s="0" t="s">
        <v>30</v>
      </c>
      <c r="J24" s="4" t="n">
        <f aca="false">SUM(J10:J11)</f>
        <v>711.5</v>
      </c>
      <c r="K24" s="4" t="n">
        <f aca="false">SUM(K10:K11)</f>
        <v>711.5</v>
      </c>
      <c r="M24" s="0" t="s">
        <v>28</v>
      </c>
      <c r="N24" s="4" t="n">
        <f aca="false">SUM(N8:N9)</f>
        <v>269</v>
      </c>
      <c r="O24" s="4" t="n">
        <f aca="false">SUM(O8:O9)</f>
        <v>849</v>
      </c>
      <c r="Q24" s="0" t="s">
        <v>12</v>
      </c>
      <c r="R24" s="4" t="n">
        <f aca="false">SUM(R19:R23)</f>
        <v>643.6</v>
      </c>
      <c r="S24" s="4" t="n">
        <f aca="false">SUM(S19:S23)</f>
        <v>1375.5</v>
      </c>
    </row>
    <row r="25" customFormat="false" ht="15" hidden="false" customHeight="false" outlineLevel="0" collapsed="false">
      <c r="E25" s="0" t="s">
        <v>12</v>
      </c>
      <c r="F25" s="4" t="n">
        <f aca="false">SUM(F19:F24)</f>
        <v>630.8</v>
      </c>
      <c r="G25" s="4" t="n">
        <f aca="false">SUM(G19:G24)</f>
        <v>1213.3</v>
      </c>
      <c r="I25" s="0" t="s">
        <v>12</v>
      </c>
      <c r="J25" s="4" t="n">
        <f aca="false">SUM(J19:J24)</f>
        <v>1646.7</v>
      </c>
      <c r="K25" s="4" t="n">
        <f aca="false">SUM(K19:K24)</f>
        <v>2468.9</v>
      </c>
      <c r="M25" s="0" t="s">
        <v>30</v>
      </c>
      <c r="N25" s="3" t="n">
        <v>0</v>
      </c>
      <c r="O25" s="3" t="n">
        <v>600</v>
      </c>
    </row>
    <row r="26" customFormat="false" ht="15" hidden="false" customHeight="false" outlineLevel="0" collapsed="false">
      <c r="M26" s="0" t="s">
        <v>12</v>
      </c>
      <c r="N26" s="4" t="n">
        <f aca="false">SUM(N19:N25)</f>
        <v>1363</v>
      </c>
      <c r="O26" s="4" t="n">
        <f aca="false">SUM(O19:O25)</f>
        <v>2952.8</v>
      </c>
    </row>
  </sheetData>
  <mergeCells count="10">
    <mergeCell ref="F1:G1"/>
    <mergeCell ref="J1:K1"/>
    <mergeCell ref="N1:O1"/>
    <mergeCell ref="R1:S1"/>
    <mergeCell ref="V1:W1"/>
    <mergeCell ref="F17:G17"/>
    <mergeCell ref="J17:K17"/>
    <mergeCell ref="N17:O17"/>
    <mergeCell ref="R17:S17"/>
    <mergeCell ref="V17:W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W22"/>
  <sheetViews>
    <sheetView showFormulas="false" showGridLines="true" showRowColHeaders="true" showZeros="true" rightToLeft="false" tabSelected="false" showOutlineSymbols="true" defaultGridColor="true" view="normal" topLeftCell="G2" colorId="64" zoomScale="100" zoomScaleNormal="100" zoomScalePageLayoutView="100" workbookViewId="0">
      <selection pane="topLeft" activeCell="F11" activeCellId="1" sqref="D4:D8 F11"/>
    </sheetView>
  </sheetViews>
  <sheetFormatPr defaultColWidth="10.6875" defaultRowHeight="15" zeroHeight="false" outlineLevelRow="0" outlineLevelCol="0"/>
  <sheetData>
    <row r="2" customFormat="false" ht="15" hidden="false" customHeight="false" outlineLevel="0" collapsed="false">
      <c r="F2" s="5" t="s">
        <v>0</v>
      </c>
      <c r="G2" s="5"/>
      <c r="J2" s="5" t="s">
        <v>1</v>
      </c>
      <c r="K2" s="5"/>
      <c r="N2" s="5" t="s">
        <v>2</v>
      </c>
      <c r="O2" s="5"/>
      <c r="R2" s="5" t="s">
        <v>3</v>
      </c>
      <c r="S2" s="5"/>
      <c r="V2" s="5" t="s">
        <v>4</v>
      </c>
      <c r="W2" s="5"/>
    </row>
    <row r="3" customFormat="false" ht="15" hidden="false" customHeight="false" outlineLevel="0" collapsed="false">
      <c r="A3" s="0" t="s">
        <v>5</v>
      </c>
      <c r="B3" s="0" t="n">
        <v>2025</v>
      </c>
      <c r="C3" s="0" t="n">
        <v>2050</v>
      </c>
      <c r="F3" s="0" t="n">
        <v>2025</v>
      </c>
      <c r="G3" s="0" t="n">
        <v>2050</v>
      </c>
      <c r="J3" s="0" t="n">
        <v>2025</v>
      </c>
      <c r="K3" s="0" t="n">
        <v>2050</v>
      </c>
      <c r="N3" s="0" t="n">
        <v>2025</v>
      </c>
      <c r="O3" s="0" t="n">
        <v>2050</v>
      </c>
      <c r="R3" s="0" t="n">
        <v>2025</v>
      </c>
      <c r="S3" s="0" t="n">
        <v>2050</v>
      </c>
      <c r="V3" s="0" t="n">
        <v>2025</v>
      </c>
      <c r="W3" s="0" t="n">
        <v>2050</v>
      </c>
    </row>
    <row r="4" customFormat="false" ht="15" hidden="false" customHeight="false" outlineLevel="0" collapsed="false">
      <c r="A4" s="0" t="s">
        <v>0</v>
      </c>
      <c r="B4" s="0" t="n">
        <v>630.8</v>
      </c>
      <c r="C4" s="0" t="n">
        <v>1050.62135</v>
      </c>
      <c r="E4" s="0" t="s">
        <v>7</v>
      </c>
      <c r="F4" s="0" t="n">
        <v>50.3</v>
      </c>
      <c r="G4" s="0" t="n">
        <v>50.3</v>
      </c>
      <c r="I4" s="0" t="s">
        <v>7</v>
      </c>
      <c r="J4" s="0" t="n">
        <v>419.8</v>
      </c>
      <c r="K4" s="0" t="n">
        <v>419.8</v>
      </c>
      <c r="M4" s="0" t="s">
        <v>7</v>
      </c>
      <c r="N4" s="0" t="n">
        <v>235</v>
      </c>
      <c r="O4" s="0" t="n">
        <v>235</v>
      </c>
      <c r="Q4" s="0" t="s">
        <v>7</v>
      </c>
      <c r="R4" s="0" t="n">
        <v>36.2</v>
      </c>
      <c r="S4" s="0" t="n">
        <v>36.2</v>
      </c>
      <c r="U4" s="0" t="s">
        <v>8</v>
      </c>
      <c r="V4" s="0" t="n">
        <v>65.8</v>
      </c>
      <c r="W4" s="0" t="n">
        <v>65.8</v>
      </c>
    </row>
    <row r="5" customFormat="false" ht="15" hidden="false" customHeight="false" outlineLevel="0" collapsed="false">
      <c r="A5" s="0" t="s">
        <v>9</v>
      </c>
      <c r="B5" s="0" t="n">
        <v>1746.7</v>
      </c>
      <c r="C5" s="0" t="n">
        <v>2127.9</v>
      </c>
      <c r="E5" s="0" t="s">
        <v>31</v>
      </c>
      <c r="F5" s="0" t="n">
        <v>0</v>
      </c>
      <c r="G5" s="0" t="n">
        <v>37.32135</v>
      </c>
      <c r="I5" s="0" t="s">
        <v>11</v>
      </c>
      <c r="J5" s="0" t="n">
        <v>480</v>
      </c>
      <c r="K5" s="0" t="n">
        <v>480</v>
      </c>
      <c r="M5" s="0" t="s">
        <v>31</v>
      </c>
      <c r="N5" s="0" t="n">
        <v>0</v>
      </c>
      <c r="O5" s="0" t="n">
        <v>136.025329</v>
      </c>
      <c r="Q5" s="0" t="s">
        <v>31</v>
      </c>
      <c r="R5" s="0" t="n">
        <v>0</v>
      </c>
      <c r="S5" s="0" t="n">
        <v>1.861837</v>
      </c>
      <c r="U5" s="0" t="s">
        <v>15</v>
      </c>
      <c r="V5" s="0" t="n">
        <v>0.4</v>
      </c>
      <c r="W5" s="0" t="n">
        <v>10</v>
      </c>
    </row>
    <row r="6" customFormat="false" ht="15" hidden="false" customHeight="false" outlineLevel="0" collapsed="false">
      <c r="A6" s="0" t="s">
        <v>13</v>
      </c>
      <c r="B6" s="0" t="n">
        <v>1463</v>
      </c>
      <c r="C6" s="0" t="n">
        <v>2008.825329</v>
      </c>
      <c r="E6" s="0" t="s">
        <v>10</v>
      </c>
      <c r="F6" s="0" t="n">
        <v>15</v>
      </c>
      <c r="G6" s="0" t="n">
        <v>15</v>
      </c>
      <c r="I6" s="0" t="s">
        <v>14</v>
      </c>
      <c r="J6" s="0" t="n">
        <v>100</v>
      </c>
      <c r="K6" s="0" t="n">
        <v>100</v>
      </c>
      <c r="M6" s="0" t="s">
        <v>10</v>
      </c>
      <c r="N6" s="0" t="n">
        <v>84.3</v>
      </c>
      <c r="O6" s="0" t="n">
        <v>84.3</v>
      </c>
      <c r="Q6" s="0" t="s">
        <v>8</v>
      </c>
      <c r="R6" s="0" t="n">
        <v>0</v>
      </c>
      <c r="S6" s="0" t="n">
        <v>0</v>
      </c>
      <c r="U6" s="0" t="s">
        <v>12</v>
      </c>
      <c r="V6" s="0" t="n">
        <f aca="false">SUM(V4:V5)</f>
        <v>66.2</v>
      </c>
      <c r="W6" s="0" t="n">
        <f aca="false">SUM(W4:W5)</f>
        <v>75.8</v>
      </c>
    </row>
    <row r="7" customFormat="false" ht="15" hidden="false" customHeight="false" outlineLevel="0" collapsed="false">
      <c r="A7" s="0" t="s">
        <v>3</v>
      </c>
      <c r="B7" s="0" t="n">
        <v>643.6</v>
      </c>
      <c r="C7" s="0" t="n">
        <v>747.361837</v>
      </c>
      <c r="E7" s="0" t="s">
        <v>8</v>
      </c>
      <c r="F7" s="0" t="n">
        <v>37.8</v>
      </c>
      <c r="G7" s="0" t="n">
        <v>37.8</v>
      </c>
      <c r="I7" s="0" t="s">
        <v>16</v>
      </c>
      <c r="J7" s="0" t="n">
        <v>0</v>
      </c>
      <c r="K7" s="0" t="n">
        <v>198</v>
      </c>
      <c r="M7" s="0" t="s">
        <v>11</v>
      </c>
      <c r="N7" s="0" t="n">
        <v>736</v>
      </c>
      <c r="O7" s="0" t="n">
        <v>736</v>
      </c>
      <c r="Q7" s="0" t="s">
        <v>11</v>
      </c>
      <c r="R7" s="0" t="n">
        <v>508.5</v>
      </c>
      <c r="S7" s="0" t="n">
        <v>508.5</v>
      </c>
    </row>
    <row r="8" customFormat="false" ht="15" hidden="false" customHeight="false" outlineLevel="0" collapsed="false">
      <c r="A8" s="0" t="s">
        <v>4</v>
      </c>
      <c r="B8" s="0" t="n">
        <v>66.2</v>
      </c>
      <c r="C8" s="0" t="n">
        <v>75.8</v>
      </c>
      <c r="E8" s="0" t="s">
        <v>16</v>
      </c>
      <c r="F8" s="0" t="n">
        <v>120</v>
      </c>
      <c r="G8" s="0" t="n">
        <v>120</v>
      </c>
      <c r="I8" s="0" t="s">
        <v>18</v>
      </c>
      <c r="J8" s="0" t="n">
        <v>27</v>
      </c>
      <c r="K8" s="0" t="n">
        <v>27</v>
      </c>
      <c r="M8" s="0" t="s">
        <v>16</v>
      </c>
      <c r="N8" s="0" t="n">
        <v>20</v>
      </c>
      <c r="O8" s="0" t="n">
        <v>20</v>
      </c>
      <c r="Q8" s="0" t="s">
        <v>14</v>
      </c>
      <c r="R8" s="0" t="n">
        <v>64</v>
      </c>
      <c r="S8" s="0" t="n">
        <v>64</v>
      </c>
    </row>
    <row r="9" customFormat="false" ht="15" hidden="false" customHeight="false" outlineLevel="0" collapsed="false">
      <c r="A9" s="0" t="s">
        <v>12</v>
      </c>
      <c r="B9" s="0" t="n">
        <f aca="false">SUM(B4:B8)</f>
        <v>4550.3</v>
      </c>
      <c r="C9" s="0" t="n">
        <f aca="false">SUM(C4:C8)</f>
        <v>6010.508516</v>
      </c>
      <c r="E9" s="0" t="s">
        <v>17</v>
      </c>
      <c r="F9" s="0" t="n">
        <v>309.7</v>
      </c>
      <c r="G9" s="0" t="n">
        <v>309.7</v>
      </c>
      <c r="I9" s="0" t="s">
        <v>17</v>
      </c>
      <c r="J9" s="0" t="n">
        <v>420.5</v>
      </c>
      <c r="K9" s="0" t="n">
        <v>420.5</v>
      </c>
      <c r="M9" s="0" t="s">
        <v>18</v>
      </c>
      <c r="N9" s="0" t="n">
        <v>108</v>
      </c>
      <c r="O9" s="0" t="n">
        <v>108</v>
      </c>
      <c r="Q9" s="0" t="s">
        <v>16</v>
      </c>
      <c r="R9" s="0" t="n">
        <v>2.4</v>
      </c>
      <c r="S9" s="0" t="n">
        <v>2.4</v>
      </c>
    </row>
    <row r="10" customFormat="false" ht="15" hidden="false" customHeight="false" outlineLevel="0" collapsed="false">
      <c r="E10" s="0" t="s">
        <v>19</v>
      </c>
      <c r="F10" s="0" t="n">
        <v>86</v>
      </c>
      <c r="G10" s="0" t="n">
        <v>205</v>
      </c>
      <c r="I10" s="0" t="s">
        <v>19</v>
      </c>
      <c r="J10" s="0" t="n">
        <v>291</v>
      </c>
      <c r="K10" s="0" t="n">
        <v>291</v>
      </c>
      <c r="M10" s="0" t="s">
        <v>20</v>
      </c>
      <c r="N10" s="0" t="n">
        <v>261</v>
      </c>
      <c r="O10" s="0" t="n">
        <v>261</v>
      </c>
      <c r="Q10" s="0" t="s">
        <v>17</v>
      </c>
      <c r="R10" s="0" t="n">
        <v>27.9</v>
      </c>
      <c r="S10" s="0" t="n">
        <v>27.9</v>
      </c>
    </row>
    <row r="11" customFormat="false" ht="15" hidden="false" customHeight="false" outlineLevel="0" collapsed="false">
      <c r="E11" s="1" t="s">
        <v>15</v>
      </c>
      <c r="F11" s="1" t="n">
        <v>12</v>
      </c>
      <c r="G11" s="1" t="n">
        <v>275.5</v>
      </c>
      <c r="I11" s="1" t="s">
        <v>15</v>
      </c>
      <c r="J11" s="1" t="n">
        <v>8.4</v>
      </c>
      <c r="K11" s="1" t="n">
        <v>191.6</v>
      </c>
      <c r="M11" s="1" t="s">
        <v>15</v>
      </c>
      <c r="N11" s="1" t="n">
        <v>18.7</v>
      </c>
      <c r="O11" s="1" t="n">
        <v>428.5</v>
      </c>
      <c r="Q11" s="1" t="s">
        <v>15</v>
      </c>
      <c r="R11" s="3" t="n">
        <v>4.6</v>
      </c>
      <c r="S11" s="1" t="n">
        <v>106.5</v>
      </c>
    </row>
    <row r="14" customFormat="false" ht="15" hidden="false" customHeight="false" outlineLevel="0" collapsed="false">
      <c r="F14" s="5" t="s">
        <v>0</v>
      </c>
      <c r="G14" s="5"/>
      <c r="J14" s="5" t="s">
        <v>1</v>
      </c>
      <c r="K14" s="5"/>
      <c r="N14" s="5" t="s">
        <v>2</v>
      </c>
      <c r="O14" s="5"/>
      <c r="R14" s="5" t="s">
        <v>3</v>
      </c>
      <c r="S14" s="5"/>
      <c r="V14" s="5" t="s">
        <v>4</v>
      </c>
      <c r="W14" s="5"/>
    </row>
    <row r="15" customFormat="false" ht="15" hidden="false" customHeight="false" outlineLevel="0" collapsed="false">
      <c r="F15" s="0" t="n">
        <v>2025</v>
      </c>
      <c r="G15" s="0" t="n">
        <v>2050</v>
      </c>
      <c r="J15" s="0" t="n">
        <v>2025</v>
      </c>
      <c r="K15" s="0" t="n">
        <v>2050</v>
      </c>
      <c r="N15" s="0" t="n">
        <v>2025</v>
      </c>
      <c r="O15" s="0" t="n">
        <v>2050</v>
      </c>
      <c r="R15" s="0" t="n">
        <v>2025</v>
      </c>
      <c r="S15" s="0" t="n">
        <v>2050</v>
      </c>
      <c r="V15" s="0" t="n">
        <v>2025</v>
      </c>
      <c r="W15" s="0" t="n">
        <v>2050</v>
      </c>
    </row>
    <row r="16" customFormat="false" ht="15" hidden="false" customHeight="false" outlineLevel="0" collapsed="false">
      <c r="E16" s="0" t="s">
        <v>22</v>
      </c>
      <c r="F16" s="0" t="n">
        <f aca="false">SUM(F4:F5)</f>
        <v>50.3</v>
      </c>
      <c r="G16" s="0" t="n">
        <f aca="false">SUM(G4:G5)</f>
        <v>87.62135</v>
      </c>
      <c r="I16" s="0" t="s">
        <v>22</v>
      </c>
      <c r="J16" s="0" t="n">
        <v>419.8</v>
      </c>
      <c r="K16" s="0" t="n">
        <v>419.8</v>
      </c>
      <c r="M16" s="0" t="s">
        <v>22</v>
      </c>
      <c r="N16" s="0" t="n">
        <f aca="false">SUM(N4:N5)</f>
        <v>235</v>
      </c>
      <c r="O16" s="0" t="n">
        <f aca="false">SUM(O4:O5)</f>
        <v>371.025329</v>
      </c>
      <c r="Q16" s="0" t="s">
        <v>22</v>
      </c>
      <c r="R16" s="0" t="n">
        <f aca="false">SUM(R4:R5)</f>
        <v>36.2</v>
      </c>
      <c r="S16" s="0" t="n">
        <f aca="false">SUM(S4:S5)</f>
        <v>38.061837</v>
      </c>
    </row>
    <row r="17" customFormat="false" ht="15" hidden="false" customHeight="false" outlineLevel="0" collapsed="false">
      <c r="E17" s="0" t="s">
        <v>24</v>
      </c>
      <c r="F17" s="0" t="n">
        <v>15</v>
      </c>
      <c r="G17" s="0" t="n">
        <v>15</v>
      </c>
      <c r="I17" s="0" t="s">
        <v>25</v>
      </c>
      <c r="J17" s="0" t="n">
        <v>480</v>
      </c>
      <c r="K17" s="0" t="n">
        <v>480</v>
      </c>
      <c r="M17" s="0" t="s">
        <v>24</v>
      </c>
      <c r="N17" s="0" t="n">
        <v>84.3</v>
      </c>
      <c r="O17" s="0" t="n">
        <v>84.3</v>
      </c>
      <c r="Q17" s="0" t="s">
        <v>25</v>
      </c>
      <c r="R17" s="0" t="n">
        <v>508.5</v>
      </c>
      <c r="S17" s="0" t="n">
        <v>508.5</v>
      </c>
    </row>
    <row r="18" customFormat="false" ht="15" hidden="false" customHeight="false" outlineLevel="0" collapsed="false">
      <c r="E18" s="0" t="s">
        <v>23</v>
      </c>
      <c r="F18" s="0" t="n">
        <v>37.8</v>
      </c>
      <c r="G18" s="0" t="n">
        <v>37.8</v>
      </c>
      <c r="I18" s="0" t="s">
        <v>27</v>
      </c>
      <c r="J18" s="0" t="n">
        <f aca="false">SUM(J6:J7)</f>
        <v>100</v>
      </c>
      <c r="K18" s="0" t="n">
        <f aca="false">SUM(K6:K7)</f>
        <v>298</v>
      </c>
      <c r="M18" s="0" t="s">
        <v>25</v>
      </c>
      <c r="N18" s="0" t="n">
        <v>736</v>
      </c>
      <c r="O18" s="0" t="n">
        <v>736</v>
      </c>
      <c r="Q18" s="0" t="s">
        <v>27</v>
      </c>
      <c r="R18" s="0" t="n">
        <f aca="false">SUM(R8:R9)</f>
        <v>66.4</v>
      </c>
      <c r="S18" s="0" t="n">
        <f aca="false">SUM(S8:S9)</f>
        <v>66.4</v>
      </c>
    </row>
    <row r="19" customFormat="false" ht="15" hidden="false" customHeight="false" outlineLevel="0" collapsed="false">
      <c r="E19" s="0" t="s">
        <v>27</v>
      </c>
      <c r="F19" s="0" t="n">
        <v>120</v>
      </c>
      <c r="G19" s="0" t="n">
        <v>120</v>
      </c>
      <c r="I19" s="0" t="s">
        <v>26</v>
      </c>
      <c r="J19" s="1" t="n">
        <v>8.4</v>
      </c>
      <c r="K19" s="1" t="n">
        <v>191.6</v>
      </c>
      <c r="M19" s="0" t="s">
        <v>27</v>
      </c>
      <c r="N19" s="0" t="n">
        <v>20</v>
      </c>
      <c r="O19" s="0" t="n">
        <v>20</v>
      </c>
      <c r="Q19" s="0" t="s">
        <v>32</v>
      </c>
      <c r="R19" s="3" t="n">
        <v>4.6</v>
      </c>
      <c r="S19" s="1" t="n">
        <v>106.5</v>
      </c>
    </row>
    <row r="20" customFormat="false" ht="15" hidden="false" customHeight="false" outlineLevel="0" collapsed="false">
      <c r="E20" s="0" t="s">
        <v>26</v>
      </c>
      <c r="F20" s="1" t="n">
        <v>12</v>
      </c>
      <c r="G20" s="1" t="n">
        <v>275.5</v>
      </c>
      <c r="I20" s="0" t="s">
        <v>28</v>
      </c>
      <c r="J20" s="0" t="n">
        <v>27</v>
      </c>
      <c r="K20" s="0" t="n">
        <v>27</v>
      </c>
      <c r="M20" s="0" t="s">
        <v>26</v>
      </c>
      <c r="N20" s="1" t="n">
        <v>18.7</v>
      </c>
      <c r="O20" s="1" t="n">
        <v>428.5</v>
      </c>
      <c r="Q20" s="0" t="s">
        <v>30</v>
      </c>
      <c r="R20" s="0" t="n">
        <v>27.9</v>
      </c>
      <c r="S20" s="0" t="n">
        <v>27.9</v>
      </c>
    </row>
    <row r="21" customFormat="false" ht="15" hidden="false" customHeight="false" outlineLevel="0" collapsed="false">
      <c r="E21" s="0" t="s">
        <v>30</v>
      </c>
      <c r="F21" s="0" t="n">
        <f aca="false">SUM(F9:F10)</f>
        <v>395.7</v>
      </c>
      <c r="G21" s="0" t="n">
        <f aca="false">SUM(G9:G10)</f>
        <v>514.7</v>
      </c>
      <c r="I21" s="0" t="s">
        <v>30</v>
      </c>
      <c r="J21" s="0" t="n">
        <f aca="false">SUM(J9:J10)</f>
        <v>711.5</v>
      </c>
      <c r="K21" s="0" t="n">
        <f aca="false">SUM(K9:K10)</f>
        <v>711.5</v>
      </c>
      <c r="M21" s="0" t="s">
        <v>28</v>
      </c>
      <c r="N21" s="0" t="n">
        <f aca="false">SUM(N9:N10)</f>
        <v>369</v>
      </c>
      <c r="O21" s="0" t="n">
        <f aca="false">SUM(O9:O10)</f>
        <v>369</v>
      </c>
      <c r="Q21" s="0" t="s">
        <v>12</v>
      </c>
      <c r="R21" s="0" t="n">
        <f aca="false">SUM(R16:R20)</f>
        <v>643.6</v>
      </c>
      <c r="S21" s="0" t="n">
        <f aca="false">SUM(S16:S20)</f>
        <v>747.361837</v>
      </c>
    </row>
    <row r="22" customFormat="false" ht="15" hidden="false" customHeight="false" outlineLevel="0" collapsed="false">
      <c r="E22" s="0" t="s">
        <v>12</v>
      </c>
      <c r="F22" s="0" t="n">
        <f aca="false">SUM(F16:F21)</f>
        <v>630.8</v>
      </c>
      <c r="G22" s="0" t="n">
        <f aca="false">SUM(G16:G21)</f>
        <v>1050.62135</v>
      </c>
      <c r="I22" s="0" t="s">
        <v>12</v>
      </c>
      <c r="J22" s="0" t="n">
        <f aca="false">SUM(J16:J21)</f>
        <v>1746.7</v>
      </c>
      <c r="K22" s="0" t="n">
        <f aca="false">SUM(K16:K21)</f>
        <v>2127.9</v>
      </c>
      <c r="M22" s="0" t="s">
        <v>12</v>
      </c>
      <c r="N22" s="0" t="n">
        <f aca="false">SUM(N16:N21)</f>
        <v>1463</v>
      </c>
      <c r="O22" s="0" t="n">
        <f aca="false">SUM(O16:O21)</f>
        <v>2008.825329</v>
      </c>
    </row>
  </sheetData>
  <mergeCells count="10">
    <mergeCell ref="F2:G2"/>
    <mergeCell ref="J2:K2"/>
    <mergeCell ref="N2:O2"/>
    <mergeCell ref="R2:S2"/>
    <mergeCell ref="V2:W2"/>
    <mergeCell ref="F14:G14"/>
    <mergeCell ref="J14:K14"/>
    <mergeCell ref="N14:O14"/>
    <mergeCell ref="R14:S14"/>
    <mergeCell ref="V14:W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X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:D8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G1" s="5" t="s">
        <v>0</v>
      </c>
      <c r="H1" s="5"/>
      <c r="K1" s="5" t="s">
        <v>1</v>
      </c>
      <c r="L1" s="5"/>
      <c r="O1" s="5" t="s">
        <v>2</v>
      </c>
      <c r="P1" s="5"/>
      <c r="S1" s="5" t="s">
        <v>3</v>
      </c>
      <c r="T1" s="5"/>
      <c r="W1" s="5" t="s">
        <v>4</v>
      </c>
      <c r="X1" s="5"/>
    </row>
    <row r="2" customFormat="false" ht="15" hidden="false" customHeight="false" outlineLevel="0" collapsed="false">
      <c r="G2" s="6" t="n">
        <v>2025</v>
      </c>
      <c r="H2" s="0" t="n">
        <v>2050</v>
      </c>
      <c r="K2" s="6" t="n">
        <v>2025</v>
      </c>
      <c r="L2" s="0" t="n">
        <v>2050</v>
      </c>
      <c r="O2" s="0" t="n">
        <v>2025</v>
      </c>
      <c r="P2" s="0" t="n">
        <v>2050</v>
      </c>
      <c r="S2" s="0" t="n">
        <v>2025</v>
      </c>
      <c r="T2" s="0" t="n">
        <v>2050</v>
      </c>
      <c r="W2" s="6" t="n">
        <v>2025</v>
      </c>
      <c r="X2" s="6" t="n">
        <v>2050</v>
      </c>
    </row>
    <row r="3" customFormat="false" ht="15" hidden="false" customHeight="false" outlineLevel="0" collapsed="false">
      <c r="B3" s="0" t="s">
        <v>5</v>
      </c>
      <c r="C3" s="0" t="n">
        <v>2025</v>
      </c>
      <c r="D3" s="0" t="n">
        <v>2050</v>
      </c>
      <c r="F3" s="0" t="s">
        <v>6</v>
      </c>
      <c r="G3" s="3" t="n">
        <v>0</v>
      </c>
      <c r="H3" s="0" t="n">
        <v>0</v>
      </c>
      <c r="J3" s="0" t="s">
        <v>7</v>
      </c>
      <c r="K3" s="3" t="n">
        <v>0</v>
      </c>
      <c r="L3" s="0" t="n">
        <v>623.672736452092</v>
      </c>
      <c r="N3" s="0" t="s">
        <v>7</v>
      </c>
      <c r="O3" s="0" t="n">
        <v>0</v>
      </c>
      <c r="P3" s="0" t="n">
        <v>883.660285702584</v>
      </c>
      <c r="R3" s="0" t="s">
        <v>7</v>
      </c>
      <c r="S3" s="0" t="n">
        <v>0</v>
      </c>
      <c r="T3" s="0" t="n">
        <v>119.405317496214</v>
      </c>
      <c r="V3" s="0" t="s">
        <v>8</v>
      </c>
      <c r="W3" s="7" t="n">
        <v>81.4709181469308</v>
      </c>
      <c r="X3" s="8" t="n">
        <v>132.124556868084</v>
      </c>
    </row>
    <row r="4" customFormat="false" ht="15" hidden="false" customHeight="false" outlineLevel="0" collapsed="false">
      <c r="B4" s="0" t="s">
        <v>0</v>
      </c>
      <c r="C4" s="9" t="n">
        <v>2003.33681190689</v>
      </c>
      <c r="D4" s="9" t="n">
        <v>3536.14483098574</v>
      </c>
      <c r="F4" s="0" t="s">
        <v>7</v>
      </c>
      <c r="G4" s="3" t="n">
        <v>9.58579185338433</v>
      </c>
      <c r="H4" s="0" t="n">
        <v>32.223211573568</v>
      </c>
      <c r="J4" s="0" t="s">
        <v>11</v>
      </c>
      <c r="K4" s="3" t="n">
        <v>255.227434040331</v>
      </c>
      <c r="L4" s="0" t="n">
        <v>1943.9790631548</v>
      </c>
      <c r="N4" s="0" t="s">
        <v>31</v>
      </c>
      <c r="O4" s="0" t="n">
        <v>0</v>
      </c>
      <c r="P4" s="0" t="n">
        <v>823.075334659184</v>
      </c>
      <c r="R4" s="0" t="s">
        <v>31</v>
      </c>
      <c r="S4" s="0" t="n">
        <v>0</v>
      </c>
      <c r="T4" s="0" t="n">
        <v>8.57264311199838</v>
      </c>
      <c r="V4" s="6" t="s">
        <v>12</v>
      </c>
      <c r="W4" s="10" t="n">
        <v>81.4709181469308</v>
      </c>
      <c r="X4" s="10" t="n">
        <v>132.124556868084</v>
      </c>
    </row>
    <row r="5" customFormat="false" ht="15" hidden="false" customHeight="false" outlineLevel="0" collapsed="false">
      <c r="B5" s="0" t="s">
        <v>9</v>
      </c>
      <c r="C5" s="9" t="n">
        <v>2852.11633806797</v>
      </c>
      <c r="D5" s="9" t="n">
        <v>6471.00008640109</v>
      </c>
      <c r="F5" s="0" t="s">
        <v>31</v>
      </c>
      <c r="G5" s="3" t="n">
        <v>0</v>
      </c>
      <c r="H5" s="0" t="n">
        <v>37.0824921139811</v>
      </c>
      <c r="J5" s="0" t="s">
        <v>14</v>
      </c>
      <c r="K5" s="3" t="n">
        <v>104.93616070758</v>
      </c>
      <c r="L5" s="0" t="n">
        <v>208.968034770077</v>
      </c>
      <c r="N5" s="0" t="s">
        <v>10</v>
      </c>
      <c r="O5" s="0" t="n">
        <v>246.04910119601</v>
      </c>
      <c r="P5" s="0" t="n">
        <v>228.796841384856</v>
      </c>
      <c r="R5" s="0" t="s">
        <v>8</v>
      </c>
      <c r="S5" s="0" t="n">
        <v>0</v>
      </c>
      <c r="T5" s="0" t="n">
        <v>0</v>
      </c>
    </row>
    <row r="6" customFormat="false" ht="15" hidden="false" customHeight="false" outlineLevel="0" collapsed="false">
      <c r="B6" s="0" t="s">
        <v>13</v>
      </c>
      <c r="C6" s="9" t="n">
        <v>4542.2129657529</v>
      </c>
      <c r="D6" s="9" t="n">
        <v>8442.01513417073</v>
      </c>
      <c r="F6" s="0" t="s">
        <v>10</v>
      </c>
      <c r="G6" s="3" t="n">
        <v>15.629174084</v>
      </c>
      <c r="H6" s="0" t="n">
        <v>34.4443474725</v>
      </c>
      <c r="J6" s="0" t="s">
        <v>16</v>
      </c>
      <c r="K6" s="3" t="n">
        <v>0</v>
      </c>
      <c r="L6" s="0" t="n">
        <v>288.300420880836</v>
      </c>
      <c r="N6" s="0" t="s">
        <v>11</v>
      </c>
      <c r="O6" s="0" t="n">
        <v>2953.86014564088</v>
      </c>
      <c r="P6" s="0" t="n">
        <v>4510.82661750809</v>
      </c>
      <c r="R6" s="0" t="s">
        <v>11</v>
      </c>
      <c r="S6" s="0" t="n">
        <v>1620.78868986461</v>
      </c>
      <c r="T6" s="0" t="n">
        <v>2878.58664948584</v>
      </c>
    </row>
    <row r="7" customFormat="false" ht="15" hidden="false" customHeight="false" outlineLevel="0" collapsed="false">
      <c r="B7" s="0" t="s">
        <v>3</v>
      </c>
      <c r="C7" s="9" t="n">
        <v>1903.67607886088</v>
      </c>
      <c r="D7" s="9" t="n">
        <v>3499.40512860231</v>
      </c>
      <c r="F7" s="0" t="s">
        <v>8</v>
      </c>
      <c r="G7" s="3" t="n">
        <v>65.8322346805004</v>
      </c>
      <c r="H7" s="0" t="n">
        <v>221.770171446666</v>
      </c>
      <c r="J7" s="0" t="s">
        <v>18</v>
      </c>
      <c r="K7" s="3" t="n">
        <v>63.173228589</v>
      </c>
      <c r="L7" s="0" t="n">
        <v>88.878416328</v>
      </c>
      <c r="N7" s="0" t="s">
        <v>16</v>
      </c>
      <c r="O7" s="0" t="n">
        <v>41.7936069540154</v>
      </c>
      <c r="P7" s="0" t="n">
        <v>41.7936069540154</v>
      </c>
      <c r="R7" s="0" t="s">
        <v>14</v>
      </c>
      <c r="S7" s="0" t="n">
        <v>133.739542252849</v>
      </c>
      <c r="T7" s="0" t="n">
        <v>133.739542252849</v>
      </c>
    </row>
    <row r="8" customFormat="false" ht="15" hidden="false" customHeight="false" outlineLevel="0" collapsed="false">
      <c r="B8" s="0" t="s">
        <v>4</v>
      </c>
      <c r="C8" s="9" t="n">
        <v>82.0280541469308</v>
      </c>
      <c r="D8" s="9" t="n">
        <v>146.052956868084</v>
      </c>
      <c r="F8" s="0" t="s">
        <v>16</v>
      </c>
      <c r="G8" s="3" t="n">
        <v>170.785756825193</v>
      </c>
      <c r="H8" s="0" t="n">
        <v>228.004771984536</v>
      </c>
      <c r="J8" s="0" t="s">
        <v>17</v>
      </c>
      <c r="K8" s="7" t="n">
        <v>1319.01174192389</v>
      </c>
      <c r="L8" s="0" t="n">
        <v>1546.83405188559</v>
      </c>
      <c r="N8" s="0" t="s">
        <v>18</v>
      </c>
      <c r="O8" s="0" t="n">
        <v>355.513665312</v>
      </c>
      <c r="P8" s="0" t="n">
        <v>355.513665312</v>
      </c>
      <c r="R8" s="0" t="s">
        <v>16</v>
      </c>
      <c r="S8" s="0" t="n">
        <v>5.01523283448184</v>
      </c>
      <c r="T8" s="0" t="n">
        <v>5.01523283448184</v>
      </c>
    </row>
    <row r="9" customFormat="false" ht="15" hidden="false" customHeight="false" outlineLevel="0" collapsed="false">
      <c r="B9" s="0" t="s">
        <v>12</v>
      </c>
      <c r="F9" s="0" t="s">
        <v>17</v>
      </c>
      <c r="G9" s="11" t="n">
        <v>1379.63924888568</v>
      </c>
      <c r="H9" s="0" t="n">
        <v>1499.01278512099</v>
      </c>
      <c r="J9" s="0" t="s">
        <v>19</v>
      </c>
      <c r="K9" s="7" t="n">
        <v>1093.90306240717</v>
      </c>
      <c r="L9" s="0" t="n">
        <v>1408.5008733297</v>
      </c>
      <c r="N9" s="0" t="s">
        <v>20</v>
      </c>
      <c r="O9" s="0" t="n">
        <v>915.18266265</v>
      </c>
      <c r="P9" s="0" t="n">
        <v>915.18266265</v>
      </c>
      <c r="R9" s="0" t="s">
        <v>17</v>
      </c>
      <c r="S9" s="0" t="n">
        <v>135.04183630893</v>
      </c>
      <c r="T9" s="0" t="n">
        <v>135.04183630893</v>
      </c>
    </row>
    <row r="10" customFormat="false" ht="15" hidden="false" customHeight="false" outlineLevel="0" collapsed="false">
      <c r="F10" s="0" t="s">
        <v>19</v>
      </c>
      <c r="G10" s="3" t="n">
        <v>340.462173578126</v>
      </c>
      <c r="H10" s="0" t="n">
        <v>992.2428832735</v>
      </c>
    </row>
    <row r="11" customFormat="false" ht="15" hidden="false" customHeight="false" outlineLevel="0" collapsed="false">
      <c r="F11" s="6"/>
    </row>
    <row r="14" customFormat="false" ht="15" hidden="false" customHeight="false" outlineLevel="0" collapsed="false">
      <c r="G14" s="5" t="s">
        <v>0</v>
      </c>
      <c r="H14" s="5"/>
      <c r="K14" s="5" t="s">
        <v>1</v>
      </c>
      <c r="L14" s="5"/>
      <c r="O14" s="5" t="s">
        <v>2</v>
      </c>
      <c r="P14" s="5"/>
      <c r="S14" s="5" t="s">
        <v>3</v>
      </c>
      <c r="T14" s="5"/>
      <c r="W14" s="5" t="s">
        <v>4</v>
      </c>
      <c r="X14" s="5"/>
    </row>
    <row r="15" customFormat="false" ht="15" hidden="false" customHeight="false" outlineLevel="0" collapsed="false">
      <c r="G15" s="6" t="n">
        <v>2025</v>
      </c>
      <c r="H15" s="0" t="n">
        <v>2050</v>
      </c>
      <c r="K15" s="6" t="n">
        <v>2025</v>
      </c>
      <c r="L15" s="0" t="n">
        <v>2050</v>
      </c>
      <c r="O15" s="0" t="n">
        <v>2025</v>
      </c>
      <c r="P15" s="0" t="n">
        <v>2050</v>
      </c>
      <c r="S15" s="0" t="n">
        <v>2025</v>
      </c>
      <c r="T15" s="0" t="n">
        <v>2050</v>
      </c>
      <c r="W15" s="6" t="n">
        <v>2025</v>
      </c>
      <c r="X15" s="6" t="n">
        <v>2050</v>
      </c>
    </row>
    <row r="16" customFormat="false" ht="15" hidden="false" customHeight="false" outlineLevel="0" collapsed="false">
      <c r="F16" s="9" t="s">
        <v>22</v>
      </c>
      <c r="G16" s="9" t="n">
        <f aca="false">SUM(G4:G5)</f>
        <v>9.58579185338433</v>
      </c>
      <c r="H16" s="9" t="n">
        <f aca="false">SUM(H4:H5)</f>
        <v>69.3057036875491</v>
      </c>
      <c r="I16" s="9"/>
      <c r="J16" s="9" t="s">
        <v>22</v>
      </c>
      <c r="K16" s="9" t="n">
        <v>0</v>
      </c>
      <c r="L16" s="9" t="n">
        <v>623.672736452092</v>
      </c>
      <c r="M16" s="9"/>
      <c r="N16" s="9" t="s">
        <v>22</v>
      </c>
      <c r="O16" s="9" t="n">
        <f aca="false">SUM(O3:O4)</f>
        <v>0</v>
      </c>
      <c r="P16" s="9" t="n">
        <f aca="false">SUM(P3:P4)</f>
        <v>1706.73562036177</v>
      </c>
      <c r="Q16" s="9"/>
      <c r="R16" s="9" t="s">
        <v>22</v>
      </c>
      <c r="S16" s="9" t="n">
        <f aca="false">SUM(S3:S4)</f>
        <v>0</v>
      </c>
      <c r="T16" s="9" t="n">
        <f aca="false">SUM(T3:T4)</f>
        <v>127.977960608212</v>
      </c>
      <c r="V16" s="0" t="s">
        <v>8</v>
      </c>
      <c r="W16" s="12" t="n">
        <v>81.4709181469308</v>
      </c>
      <c r="X16" s="13" t="n">
        <v>132.124556868084</v>
      </c>
    </row>
    <row r="17" customFormat="false" ht="15" hidden="false" customHeight="false" outlineLevel="0" collapsed="false">
      <c r="F17" s="9" t="s">
        <v>24</v>
      </c>
      <c r="G17" s="14" t="n">
        <v>15.629174084</v>
      </c>
      <c r="H17" s="9" t="n">
        <v>34.4443474725</v>
      </c>
      <c r="I17" s="9"/>
      <c r="J17" s="9" t="s">
        <v>25</v>
      </c>
      <c r="K17" s="14" t="n">
        <v>255.227434040331</v>
      </c>
      <c r="L17" s="9" t="n">
        <v>1943.9790631548</v>
      </c>
      <c r="M17" s="9"/>
      <c r="N17" s="9" t="s">
        <v>24</v>
      </c>
      <c r="O17" s="9" t="n">
        <v>246.04910119601</v>
      </c>
      <c r="P17" s="9" t="n">
        <v>228.796841384856</v>
      </c>
      <c r="Q17" s="9"/>
      <c r="R17" s="15" t="s">
        <v>24</v>
      </c>
      <c r="S17" s="15" t="n">
        <v>0</v>
      </c>
      <c r="T17" s="15" t="n">
        <v>8.57264311199838</v>
      </c>
      <c r="V17" s="0" t="s">
        <v>15</v>
      </c>
      <c r="W17" s="9" t="n">
        <f aca="false">(8760*$W24*'Tendencial-potencia'!V5)/1000</f>
        <v>0.557136</v>
      </c>
      <c r="X17" s="9" t="n">
        <f aca="false">(8760*$W24*'Tendencial-potencia'!W5)/1000</f>
        <v>13.9284</v>
      </c>
    </row>
    <row r="18" customFormat="false" ht="15" hidden="false" customHeight="false" outlineLevel="0" collapsed="false">
      <c r="F18" s="9" t="s">
        <v>23</v>
      </c>
      <c r="G18" s="14" t="n">
        <v>65.8322346805004</v>
      </c>
      <c r="H18" s="9" t="n">
        <v>221.770171446666</v>
      </c>
      <c r="I18" s="9"/>
      <c r="J18" s="9" t="s">
        <v>27</v>
      </c>
      <c r="K18" s="9" t="n">
        <f aca="false">SUM(K5:K6)</f>
        <v>104.93616070758</v>
      </c>
      <c r="L18" s="9" t="n">
        <f aca="false">SUM(L5:L6)</f>
        <v>497.268455650913</v>
      </c>
      <c r="M18" s="9"/>
      <c r="N18" s="9" t="s">
        <v>25</v>
      </c>
      <c r="O18" s="9" t="n">
        <v>2953.86014564088</v>
      </c>
      <c r="P18" s="9" t="n">
        <v>4510.82661750809</v>
      </c>
      <c r="Q18" s="9"/>
      <c r="R18" s="9" t="s">
        <v>25</v>
      </c>
      <c r="S18" s="9" t="n">
        <v>1620.78868986461</v>
      </c>
      <c r="T18" s="9" t="n">
        <v>2878.58664948584</v>
      </c>
      <c r="V18" s="0" t="s">
        <v>12</v>
      </c>
      <c r="W18" s="16" t="n">
        <f aca="false">SUM(W16:W17)</f>
        <v>82.0280541469308</v>
      </c>
      <c r="X18" s="16" t="n">
        <f aca="false">SUM(X16:X17)</f>
        <v>146.052956868084</v>
      </c>
    </row>
    <row r="19" customFormat="false" ht="13.8" hidden="false" customHeight="false" outlineLevel="0" collapsed="false">
      <c r="F19" s="9" t="s">
        <v>27</v>
      </c>
      <c r="G19" s="14" t="n">
        <v>170.785756825193</v>
      </c>
      <c r="H19" s="9" t="n">
        <v>228.004771984536</v>
      </c>
      <c r="I19" s="9"/>
      <c r="J19" s="9" t="s">
        <v>15</v>
      </c>
      <c r="K19" s="9" t="n">
        <f aca="false">(8760*$K24*'Tendencial-potencia'!J11)/1000</f>
        <v>15.8647104</v>
      </c>
      <c r="L19" s="9" t="n">
        <f aca="false">(8760*$K24*'Tendencial-potencia'!K11)/1000</f>
        <v>361.8664896</v>
      </c>
      <c r="M19" s="9"/>
      <c r="N19" s="9" t="s">
        <v>27</v>
      </c>
      <c r="O19" s="9" t="n">
        <v>41.7936069540154</v>
      </c>
      <c r="P19" s="9" t="n">
        <v>41.7936069540154</v>
      </c>
      <c r="Q19" s="9"/>
      <c r="R19" s="9" t="s">
        <v>27</v>
      </c>
      <c r="S19" s="9" t="n">
        <f aca="false">SUM(S7:S8)</f>
        <v>138.754775087331</v>
      </c>
      <c r="T19" s="9" t="n">
        <f aca="false">SUM(T7:T8)</f>
        <v>138.754775087331</v>
      </c>
    </row>
    <row r="20" customFormat="false" ht="13.8" hidden="false" customHeight="false" outlineLevel="0" collapsed="false">
      <c r="F20" s="9" t="s">
        <v>15</v>
      </c>
      <c r="G20" s="9" t="n">
        <f aca="false">(8760*$G24*'Tendencial-potencia'!F11)/1000</f>
        <v>21.402432</v>
      </c>
      <c r="H20" s="9" t="n">
        <f aca="false">(8760*$G24*'Tendencial-potencia'!G11)/1000</f>
        <v>491.364168</v>
      </c>
      <c r="I20" s="9"/>
      <c r="J20" s="9" t="s">
        <v>28</v>
      </c>
      <c r="K20" s="14" t="n">
        <v>63.173228589</v>
      </c>
      <c r="L20" s="9" t="n">
        <v>88.878416328</v>
      </c>
      <c r="M20" s="9"/>
      <c r="N20" s="9" t="s">
        <v>15</v>
      </c>
      <c r="O20" s="9" t="n">
        <f aca="false">(8760*$O24*'Tendencial-potencia'!N11)/1000</f>
        <v>29.813784</v>
      </c>
      <c r="P20" s="9" t="n">
        <f aca="false">(8760*$O24*'Tendencial-potencia'!O11)/1000</f>
        <v>683.16612</v>
      </c>
      <c r="Q20" s="9"/>
      <c r="R20" s="9" t="s">
        <v>15</v>
      </c>
      <c r="S20" s="9" t="n">
        <f aca="false">(8760*$S24*'Tendencial-potencia'!R11)/1000</f>
        <v>9.0907776</v>
      </c>
      <c r="T20" s="9" t="n">
        <f aca="false">(8760*$S24*'Tendencial-potencia'!S11)/1000</f>
        <v>210.471264</v>
      </c>
    </row>
    <row r="21" customFormat="false" ht="13.8" hidden="false" customHeight="false" outlineLevel="0" collapsed="false">
      <c r="F21" s="9" t="s">
        <v>30</v>
      </c>
      <c r="G21" s="9" t="n">
        <f aca="false">SUM(G9:G10)</f>
        <v>1720.10142246381</v>
      </c>
      <c r="H21" s="9" t="n">
        <f aca="false">SUM(H9:H10)</f>
        <v>2491.25566839449</v>
      </c>
      <c r="I21" s="9"/>
      <c r="J21" s="9" t="s">
        <v>30</v>
      </c>
      <c r="K21" s="9" t="n">
        <f aca="false">SUM(K8:K9)</f>
        <v>2412.91480433106</v>
      </c>
      <c r="L21" s="9" t="n">
        <f aca="false">SUM(L8:L9)</f>
        <v>2955.33492521529</v>
      </c>
      <c r="M21" s="9"/>
      <c r="N21" s="9" t="s">
        <v>28</v>
      </c>
      <c r="O21" s="9" t="n">
        <f aca="false">SUM(O8:O9)</f>
        <v>1270.696327962</v>
      </c>
      <c r="P21" s="9" t="n">
        <f aca="false">SUM(P8:P9)</f>
        <v>1270.696327962</v>
      </c>
      <c r="Q21" s="9"/>
      <c r="R21" s="9" t="s">
        <v>30</v>
      </c>
      <c r="S21" s="9" t="n">
        <v>135.04183630893</v>
      </c>
      <c r="T21" s="9" t="n">
        <v>135.04183630893</v>
      </c>
    </row>
    <row r="22" customFormat="false" ht="13.8" hidden="false" customHeight="false" outlineLevel="0" collapsed="false">
      <c r="F22" s="9" t="s">
        <v>12</v>
      </c>
      <c r="G22" s="9" t="n">
        <f aca="false">SUM(G16:G21)</f>
        <v>2003.33681190689</v>
      </c>
      <c r="H22" s="9" t="n">
        <f aca="false">SUM(H16:H21)</f>
        <v>3536.14483098574</v>
      </c>
      <c r="I22" s="9"/>
      <c r="M22" s="9"/>
      <c r="N22" s="9" t="s">
        <v>12</v>
      </c>
      <c r="O22" s="9" t="n">
        <f aca="false">SUM(O16:O21)</f>
        <v>4542.2129657529</v>
      </c>
      <c r="P22" s="9" t="n">
        <f aca="false">SUM(P16:P21)</f>
        <v>8442.01513417073</v>
      </c>
      <c r="Q22" s="9"/>
      <c r="R22" s="9" t="s">
        <v>12</v>
      </c>
      <c r="S22" s="9" t="n">
        <f aca="false">SUM(S16:S21)</f>
        <v>1903.67607886088</v>
      </c>
      <c r="T22" s="9" t="n">
        <f aca="false">SUM(T16:T21)</f>
        <v>3499.40512860231</v>
      </c>
    </row>
    <row r="23" customFormat="false" ht="13.8" hidden="false" customHeight="false" outlineLevel="0" collapsed="false">
      <c r="J23" s="9" t="s">
        <v>12</v>
      </c>
      <c r="K23" s="9" t="n">
        <f aca="false">SUM(K16:K21)</f>
        <v>2852.11633806797</v>
      </c>
      <c r="L23" s="9" t="n">
        <f aca="false">SUM(L16:L21)</f>
        <v>6471.00008640109</v>
      </c>
    </row>
    <row r="24" customFormat="false" ht="15" hidden="false" customHeight="false" outlineLevel="0" collapsed="false">
      <c r="F24" s="9" t="s">
        <v>33</v>
      </c>
      <c r="G24" s="0" t="n">
        <v>0.2036</v>
      </c>
      <c r="J24" s="9" t="s">
        <v>33</v>
      </c>
      <c r="K24" s="0" t="n">
        <v>0.2156</v>
      </c>
      <c r="N24" s="9" t="s">
        <v>33</v>
      </c>
      <c r="O24" s="0" t="n">
        <v>0.182</v>
      </c>
      <c r="R24" s="9" t="s">
        <v>33</v>
      </c>
      <c r="S24" s="0" t="n">
        <v>0.2256</v>
      </c>
      <c r="V24" s="9" t="s">
        <v>33</v>
      </c>
      <c r="W24" s="0" t="n">
        <v>0.159</v>
      </c>
    </row>
  </sheetData>
  <mergeCells count="10">
    <mergeCell ref="G1:H1"/>
    <mergeCell ref="K1:L1"/>
    <mergeCell ref="O1:P1"/>
    <mergeCell ref="S1:T1"/>
    <mergeCell ref="W1:X1"/>
    <mergeCell ref="G14:H14"/>
    <mergeCell ref="K14:L14"/>
    <mergeCell ref="O14:P14"/>
    <mergeCell ref="S14:T14"/>
    <mergeCell ref="W14:X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X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1" sqref="D4:D8 D10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G1" s="5" t="s">
        <v>0</v>
      </c>
      <c r="H1" s="5"/>
      <c r="K1" s="5" t="s">
        <v>1</v>
      </c>
      <c r="L1" s="5"/>
      <c r="O1" s="5" t="s">
        <v>2</v>
      </c>
      <c r="P1" s="5"/>
      <c r="S1" s="5" t="s">
        <v>3</v>
      </c>
      <c r="T1" s="5"/>
      <c r="W1" s="5" t="s">
        <v>4</v>
      </c>
      <c r="X1" s="5"/>
    </row>
    <row r="2" customFormat="false" ht="15" hidden="false" customHeight="false" outlineLevel="0" collapsed="false">
      <c r="G2" s="6" t="n">
        <v>2025</v>
      </c>
      <c r="H2" s="6" t="n">
        <v>2050</v>
      </c>
      <c r="K2" s="0" t="n">
        <v>2025</v>
      </c>
      <c r="L2" s="0" t="n">
        <v>2050</v>
      </c>
      <c r="O2" s="0" t="n">
        <v>2025</v>
      </c>
      <c r="P2" s="0" t="n">
        <v>2050</v>
      </c>
      <c r="S2" s="0" t="n">
        <v>2025</v>
      </c>
      <c r="T2" s="6" t="n">
        <v>2050</v>
      </c>
      <c r="W2" s="0" t="n">
        <v>2025</v>
      </c>
      <c r="X2" s="0" t="n">
        <v>2050</v>
      </c>
    </row>
    <row r="3" customFormat="false" ht="15" hidden="false" customHeight="false" outlineLevel="0" collapsed="false">
      <c r="B3" s="6" t="s">
        <v>5</v>
      </c>
      <c r="C3" s="6" t="n">
        <v>2025</v>
      </c>
      <c r="D3" s="6" t="n">
        <v>2050</v>
      </c>
      <c r="F3" s="0" t="s">
        <v>7</v>
      </c>
      <c r="G3" s="3" t="n">
        <v>0</v>
      </c>
      <c r="H3" s="3" t="n">
        <v>2.1473107737238</v>
      </c>
      <c r="J3" s="0" t="s">
        <v>7</v>
      </c>
      <c r="K3" s="0" t="n">
        <v>0</v>
      </c>
      <c r="L3" s="0" t="n">
        <v>161.446632540555</v>
      </c>
      <c r="N3" s="0" t="s">
        <v>7</v>
      </c>
      <c r="O3" s="0" t="n">
        <v>0</v>
      </c>
      <c r="P3" s="0" t="n">
        <v>0</v>
      </c>
      <c r="R3" s="0" t="s">
        <v>7</v>
      </c>
      <c r="S3" s="0" t="n">
        <v>0</v>
      </c>
      <c r="T3" s="3" t="n">
        <v>31.97184</v>
      </c>
      <c r="V3" s="0" t="s">
        <v>8</v>
      </c>
      <c r="W3" s="0" t="n">
        <v>81.4709181469308</v>
      </c>
      <c r="X3" s="0" t="n">
        <v>132.124556868084</v>
      </c>
    </row>
    <row r="4" customFormat="false" ht="15" hidden="false" customHeight="false" outlineLevel="0" collapsed="false">
      <c r="B4" s="0" t="s">
        <v>0</v>
      </c>
      <c r="C4" s="17" t="n">
        <v>2512.56960964611</v>
      </c>
      <c r="D4" s="17" t="n">
        <v>3401.12961264753</v>
      </c>
      <c r="F4" s="0" t="s">
        <v>10</v>
      </c>
      <c r="G4" s="3" t="n">
        <v>42.7327761855</v>
      </c>
      <c r="H4" s="3" t="n">
        <v>29.2806632885</v>
      </c>
      <c r="J4" s="0" t="s">
        <v>11</v>
      </c>
      <c r="K4" s="0" t="n">
        <v>0</v>
      </c>
      <c r="L4" s="0" t="n">
        <v>894.112770190121</v>
      </c>
      <c r="N4" s="0" t="s">
        <v>10</v>
      </c>
      <c r="O4" s="0" t="n">
        <v>246.04910119601</v>
      </c>
      <c r="P4" s="0" t="n">
        <v>164.55732768137</v>
      </c>
      <c r="R4" s="0" t="s">
        <v>8</v>
      </c>
      <c r="S4" s="0" t="n">
        <v>0</v>
      </c>
      <c r="T4" s="3" t="n">
        <v>0</v>
      </c>
      <c r="V4" s="0" t="s">
        <v>12</v>
      </c>
      <c r="W4" s="0" t="n">
        <v>81.4709181469308</v>
      </c>
      <c r="X4" s="0" t="n">
        <v>132.124556868084</v>
      </c>
    </row>
    <row r="5" customFormat="false" ht="15" hidden="false" customHeight="false" outlineLevel="0" collapsed="false">
      <c r="B5" s="0" t="s">
        <v>9</v>
      </c>
      <c r="C5" s="17" t="n">
        <v>3269.04608671336</v>
      </c>
      <c r="D5" s="17" t="n">
        <v>5305.32166343233</v>
      </c>
      <c r="F5" s="0" t="s">
        <v>8</v>
      </c>
      <c r="G5" s="3" t="n">
        <v>282.675296736587</v>
      </c>
      <c r="H5" s="3" t="n">
        <v>195.015241167927</v>
      </c>
      <c r="J5" s="0" t="s">
        <v>14</v>
      </c>
      <c r="K5" s="0" t="n">
        <v>208.968034770077</v>
      </c>
      <c r="L5" s="0" t="n">
        <v>61.3058347700768</v>
      </c>
      <c r="N5" s="0" t="s">
        <v>11</v>
      </c>
      <c r="O5" s="0" t="n">
        <v>2230.01117701991</v>
      </c>
      <c r="P5" s="0" t="n">
        <v>2393.29037313112</v>
      </c>
      <c r="R5" s="0" t="s">
        <v>11</v>
      </c>
      <c r="S5" s="0" t="n">
        <v>1663.51004244525</v>
      </c>
      <c r="T5" s="8" t="n">
        <v>1888.25068572105</v>
      </c>
    </row>
    <row r="6" customFormat="false" ht="15" hidden="false" customHeight="false" outlineLevel="0" collapsed="false">
      <c r="B6" s="0" t="s">
        <v>13</v>
      </c>
      <c r="C6" s="17" t="n">
        <v>3467.7192987986</v>
      </c>
      <c r="D6" s="17" t="n">
        <v>9734.2120632784</v>
      </c>
      <c r="F6" s="0" t="s">
        <v>16</v>
      </c>
      <c r="G6" s="3" t="n">
        <v>250.761641724092</v>
      </c>
      <c r="H6" s="7" t="n">
        <v>527.7171093347</v>
      </c>
      <c r="J6" s="0" t="s">
        <v>16</v>
      </c>
      <c r="K6" s="0" t="n">
        <v>0</v>
      </c>
      <c r="L6" s="0" t="n">
        <v>1228.73204444805</v>
      </c>
      <c r="N6" s="0" t="s">
        <v>16</v>
      </c>
      <c r="O6" s="0" t="n">
        <v>41.7936069540154</v>
      </c>
      <c r="P6" s="0" t="n">
        <v>41.7936069540154</v>
      </c>
      <c r="R6" s="0" t="s">
        <v>14</v>
      </c>
      <c r="S6" s="0" t="n">
        <v>133.739542252849</v>
      </c>
      <c r="T6" s="3" t="n">
        <v>71.8456366244238</v>
      </c>
    </row>
    <row r="7" customFormat="false" ht="15" hidden="false" customHeight="false" outlineLevel="0" collapsed="false">
      <c r="B7" s="0" t="s">
        <v>3</v>
      </c>
      <c r="C7" s="17" t="n">
        <v>1946.39743144151</v>
      </c>
      <c r="D7" s="17" t="n">
        <v>3633.95952319965</v>
      </c>
      <c r="F7" s="0" t="s">
        <v>17</v>
      </c>
      <c r="G7" s="11" t="n">
        <v>1499.01278512099</v>
      </c>
      <c r="H7" s="11" t="n">
        <v>1320.13993470253</v>
      </c>
      <c r="J7" s="0" t="s">
        <v>18</v>
      </c>
      <c r="K7" s="0" t="n">
        <v>88.878416328</v>
      </c>
      <c r="L7" s="0" t="n">
        <v>76.5696774294</v>
      </c>
      <c r="N7" s="0" t="s">
        <v>18</v>
      </c>
      <c r="O7" s="0" t="n">
        <v>355.513665312</v>
      </c>
      <c r="P7" s="0" t="n">
        <v>341.445088420239</v>
      </c>
      <c r="R7" s="0" t="s">
        <v>16</v>
      </c>
      <c r="S7" s="0" t="n">
        <v>5.01523283448184</v>
      </c>
      <c r="T7" s="7" t="n">
        <v>1321.51385188597</v>
      </c>
    </row>
    <row r="8" customFormat="false" ht="15" hidden="false" customHeight="false" outlineLevel="0" collapsed="false">
      <c r="B8" s="0" t="s">
        <v>4</v>
      </c>
      <c r="C8" s="17" t="n">
        <v>82.0280541469308</v>
      </c>
      <c r="D8" s="17" t="n">
        <v>146.052956868084</v>
      </c>
      <c r="F8" s="0" t="s">
        <v>19</v>
      </c>
      <c r="G8" s="7" t="n">
        <v>415.984677878939</v>
      </c>
      <c r="H8" s="8" t="n">
        <v>835.465185380147</v>
      </c>
      <c r="J8" s="0" t="s">
        <v>20</v>
      </c>
      <c r="K8" s="0" t="n">
        <v>0</v>
      </c>
      <c r="L8" s="0" t="n">
        <v>172.22543175</v>
      </c>
      <c r="N8" s="0" t="s">
        <v>20</v>
      </c>
      <c r="O8" s="0" t="n">
        <v>564.537964316667</v>
      </c>
      <c r="P8" s="0" t="n">
        <v>2502.33421425</v>
      </c>
      <c r="R8" s="0" t="s">
        <v>17</v>
      </c>
      <c r="S8" s="0" t="n">
        <v>135.04183630893</v>
      </c>
      <c r="T8" s="3" t="n">
        <v>109.906244968219</v>
      </c>
    </row>
    <row r="9" customFormat="false" ht="15" hidden="false" customHeight="false" outlineLevel="0" collapsed="false">
      <c r="B9" s="6" t="s">
        <v>12</v>
      </c>
      <c r="C9" s="10"/>
      <c r="D9" s="10"/>
      <c r="F9" s="0" t="s">
        <v>12</v>
      </c>
      <c r="G9" s="10" t="n">
        <v>2491.16717764611</v>
      </c>
      <c r="H9" s="10" t="n">
        <v>2909.76544464753</v>
      </c>
      <c r="J9" s="0" t="s">
        <v>17</v>
      </c>
      <c r="K9" s="0" t="n">
        <v>1546.83405188559</v>
      </c>
      <c r="L9" s="0" t="n">
        <v>1158.82733963788</v>
      </c>
      <c r="N9" s="0" t="s">
        <v>21</v>
      </c>
      <c r="O9" s="0" t="n">
        <v>0</v>
      </c>
      <c r="P9" s="0" t="n">
        <v>3607.62533284165</v>
      </c>
      <c r="R9" s="0" t="s">
        <v>12</v>
      </c>
      <c r="S9" s="0" t="n">
        <v>1937.30665384151</v>
      </c>
      <c r="T9" s="10" t="n">
        <v>3423.48825919965</v>
      </c>
    </row>
    <row r="10" customFormat="false" ht="15" hidden="false" customHeight="false" outlineLevel="0" collapsed="false">
      <c r="J10" s="0" t="s">
        <v>19</v>
      </c>
      <c r="K10" s="0" t="n">
        <v>1408.5008733297</v>
      </c>
      <c r="L10" s="0" t="n">
        <v>1190.23544306625</v>
      </c>
      <c r="N10" s="0" t="s">
        <v>12</v>
      </c>
      <c r="O10" s="0" t="n">
        <v>3437.9055147986</v>
      </c>
      <c r="P10" s="0" t="n">
        <v>9051.0459432784</v>
      </c>
    </row>
    <row r="11" customFormat="false" ht="15" hidden="false" customHeight="false" outlineLevel="0" collapsed="false">
      <c r="J11" s="0" t="s">
        <v>12</v>
      </c>
      <c r="K11" s="0" t="n">
        <v>3253.18137631336</v>
      </c>
      <c r="L11" s="0" t="n">
        <v>4943.45517383233</v>
      </c>
    </row>
    <row r="13" customFormat="false" ht="15" hidden="false" customHeight="false" outlineLevel="0" collapsed="false">
      <c r="G13" s="5" t="s">
        <v>0</v>
      </c>
      <c r="H13" s="5"/>
      <c r="K13" s="5" t="s">
        <v>1</v>
      </c>
      <c r="L13" s="5"/>
      <c r="O13" s="5" t="s">
        <v>2</v>
      </c>
      <c r="P13" s="5"/>
      <c r="S13" s="5" t="s">
        <v>3</v>
      </c>
      <c r="T13" s="5"/>
      <c r="W13" s="5" t="s">
        <v>4</v>
      </c>
      <c r="X13" s="5"/>
    </row>
    <row r="14" customFormat="false" ht="15" hidden="false" customHeight="false" outlineLevel="0" collapsed="false">
      <c r="F14" s="9"/>
      <c r="G14" s="18" t="n">
        <v>2025</v>
      </c>
      <c r="H14" s="18" t="n">
        <v>2050</v>
      </c>
      <c r="I14" s="9"/>
      <c r="J14" s="9"/>
      <c r="K14" s="9" t="n">
        <v>2025</v>
      </c>
      <c r="L14" s="9" t="n">
        <v>2050</v>
      </c>
      <c r="M14" s="9"/>
      <c r="N14" s="9"/>
      <c r="O14" s="9" t="n">
        <v>2025</v>
      </c>
      <c r="P14" s="9" t="n">
        <v>2050</v>
      </c>
      <c r="Q14" s="9"/>
      <c r="R14" s="9"/>
      <c r="S14" s="9" t="n">
        <v>2025</v>
      </c>
      <c r="T14" s="18" t="n">
        <v>2050</v>
      </c>
      <c r="U14" s="9"/>
      <c r="V14" s="9"/>
      <c r="W14" s="9" t="n">
        <v>2025</v>
      </c>
      <c r="X14" s="9" t="n">
        <v>2050</v>
      </c>
    </row>
    <row r="15" customFormat="false" ht="15" hidden="false" customHeight="false" outlineLevel="0" collapsed="false">
      <c r="F15" s="9" t="s">
        <v>22</v>
      </c>
      <c r="G15" s="14" t="n">
        <v>0</v>
      </c>
      <c r="H15" s="14" t="n">
        <v>2.1473107737238</v>
      </c>
      <c r="I15" s="9"/>
      <c r="J15" s="9" t="s">
        <v>22</v>
      </c>
      <c r="K15" s="9" t="n">
        <v>0</v>
      </c>
      <c r="L15" s="9" t="n">
        <v>161.446632540555</v>
      </c>
      <c r="M15" s="9"/>
      <c r="N15" s="9" t="s">
        <v>22</v>
      </c>
      <c r="O15" s="9"/>
      <c r="P15" s="9"/>
      <c r="Q15" s="9"/>
      <c r="R15" s="9" t="s">
        <v>22</v>
      </c>
      <c r="S15" s="9" t="n">
        <v>0</v>
      </c>
      <c r="T15" s="14" t="n">
        <v>31.97184</v>
      </c>
      <c r="U15" s="9"/>
      <c r="V15" s="9" t="s">
        <v>8</v>
      </c>
      <c r="W15" s="9" t="n">
        <v>81.4709181469308</v>
      </c>
      <c r="X15" s="9" t="n">
        <v>132.124556868084</v>
      </c>
    </row>
    <row r="16" customFormat="false" ht="15" hidden="false" customHeight="false" outlineLevel="0" collapsed="false">
      <c r="F16" s="9" t="s">
        <v>24</v>
      </c>
      <c r="G16" s="14" t="n">
        <v>42.7327761855</v>
      </c>
      <c r="H16" s="14" t="n">
        <v>29.2806632885</v>
      </c>
      <c r="I16" s="9"/>
      <c r="J16" s="9" t="s">
        <v>25</v>
      </c>
      <c r="K16" s="9" t="n">
        <v>0</v>
      </c>
      <c r="L16" s="9" t="n">
        <v>894.112770190121</v>
      </c>
      <c r="M16" s="9"/>
      <c r="N16" s="9" t="s">
        <v>24</v>
      </c>
      <c r="O16" s="9" t="n">
        <v>246.04910119601</v>
      </c>
      <c r="P16" s="9" t="n">
        <v>164.55732768137</v>
      </c>
      <c r="Q16" s="9"/>
      <c r="R16" s="9" t="s">
        <v>25</v>
      </c>
      <c r="S16" s="9" t="n">
        <v>1663.51004244525</v>
      </c>
      <c r="T16" s="19" t="n">
        <v>1888.25068572105</v>
      </c>
      <c r="U16" s="9"/>
      <c r="V16" s="9" t="s">
        <v>15</v>
      </c>
      <c r="W16" s="9" t="n">
        <f aca="false">(8760*$W24*'alternativo-potencia'!V6)/1000</f>
        <v>0.557136</v>
      </c>
      <c r="X16" s="9" t="n">
        <f aca="false">(8760*$W24*'alternativo-potencia'!W6)/1000</f>
        <v>13.9284</v>
      </c>
    </row>
    <row r="17" customFormat="false" ht="15" hidden="false" customHeight="false" outlineLevel="0" collapsed="false">
      <c r="F17" s="9" t="s">
        <v>23</v>
      </c>
      <c r="G17" s="14" t="n">
        <v>282.675296736587</v>
      </c>
      <c r="H17" s="14" t="n">
        <v>195.015241167927</v>
      </c>
      <c r="I17" s="9"/>
      <c r="J17" s="9" t="s">
        <v>27</v>
      </c>
      <c r="K17" s="9" t="n">
        <f aca="false">SUM(K5:K6)</f>
        <v>208.968034770077</v>
      </c>
      <c r="L17" s="9" t="n">
        <f aca="false">SUM(L5:L6)</f>
        <v>1290.03787921813</v>
      </c>
      <c r="M17" s="9"/>
      <c r="N17" s="9" t="s">
        <v>25</v>
      </c>
      <c r="O17" s="9" t="n">
        <v>2230.01117701991</v>
      </c>
      <c r="P17" s="9" t="n">
        <v>2393.29037313112</v>
      </c>
      <c r="Q17" s="9"/>
      <c r="R17" s="9" t="s">
        <v>27</v>
      </c>
      <c r="S17" s="9" t="n">
        <f aca="false">SUM(S6:S7)</f>
        <v>138.754775087331</v>
      </c>
      <c r="T17" s="9" t="n">
        <f aca="false">SUM(T6:T7)</f>
        <v>1393.35948851039</v>
      </c>
      <c r="U17" s="9"/>
      <c r="V17" s="9" t="s">
        <v>12</v>
      </c>
      <c r="W17" s="9" t="n">
        <f aca="false">SUM(W15:W16)</f>
        <v>82.0280541469308</v>
      </c>
      <c r="X17" s="9" t="n">
        <f aca="false">SUM(X15:X16)</f>
        <v>146.052956868084</v>
      </c>
    </row>
    <row r="18" customFormat="false" ht="15" hidden="false" customHeight="false" outlineLevel="0" collapsed="false">
      <c r="F18" s="9" t="s">
        <v>27</v>
      </c>
      <c r="G18" s="14" t="n">
        <v>250.761641724092</v>
      </c>
      <c r="H18" s="20" t="n">
        <v>527.7171093347</v>
      </c>
      <c r="I18" s="9"/>
      <c r="J18" s="9" t="s">
        <v>28</v>
      </c>
      <c r="K18" s="9" t="n">
        <f aca="false">SUM(K7:K8)</f>
        <v>88.878416328</v>
      </c>
      <c r="L18" s="9" t="n">
        <f aca="false">SUM(L7:L8)</f>
        <v>248.7951091794</v>
      </c>
      <c r="M18" s="9"/>
      <c r="N18" s="9" t="s">
        <v>27</v>
      </c>
      <c r="O18" s="9" t="n">
        <v>41.7936069540154</v>
      </c>
      <c r="P18" s="9" t="n">
        <v>41.7936069540154</v>
      </c>
      <c r="Q18" s="9"/>
      <c r="R18" s="9" t="s">
        <v>30</v>
      </c>
      <c r="S18" s="9" t="n">
        <v>135.04183630893</v>
      </c>
      <c r="T18" s="14" t="n">
        <v>109.906244968219</v>
      </c>
      <c r="U18" s="9"/>
      <c r="V18" s="9"/>
      <c r="W18" s="9"/>
      <c r="X18" s="9"/>
    </row>
    <row r="19" customFormat="false" ht="15" hidden="false" customHeight="false" outlineLevel="0" collapsed="false">
      <c r="F19" s="9" t="s">
        <v>30</v>
      </c>
      <c r="G19" s="9" t="n">
        <f aca="false">SUM(G7:G8)</f>
        <v>1914.99746299993</v>
      </c>
      <c r="H19" s="9" t="n">
        <f aca="false">SUM(H7:H8)</f>
        <v>2155.60512008268</v>
      </c>
      <c r="I19" s="9"/>
      <c r="J19" s="9" t="s">
        <v>30</v>
      </c>
      <c r="K19" s="9" t="n">
        <f aca="false">SUM(K9:K10)</f>
        <v>2955.33492521529</v>
      </c>
      <c r="L19" s="9" t="n">
        <f aca="false">SUM(L9:L10)</f>
        <v>2349.06278270413</v>
      </c>
      <c r="M19" s="9"/>
      <c r="N19" s="9" t="s">
        <v>28</v>
      </c>
      <c r="O19" s="9" t="n">
        <f aca="false">SUM(O7:O8)</f>
        <v>920.051629628667</v>
      </c>
      <c r="P19" s="9" t="n">
        <f aca="false">SUM(P7:P8)</f>
        <v>2843.77930267024</v>
      </c>
      <c r="Q19" s="9"/>
      <c r="R19" s="9" t="s">
        <v>15</v>
      </c>
      <c r="S19" s="9" t="n">
        <f aca="false">(8760*$S24*'alternativo-potencia'!R11)/1000</f>
        <v>9.0907776</v>
      </c>
      <c r="T19" s="9" t="n">
        <f aca="false">(8760*$S24*'alternativo-potencia'!S11)/1000</f>
        <v>210.471264</v>
      </c>
      <c r="U19" s="9"/>
      <c r="V19" s="9"/>
      <c r="W19" s="9"/>
      <c r="X19" s="9"/>
    </row>
    <row r="20" customFormat="false" ht="15" hidden="false" customHeight="false" outlineLevel="0" collapsed="false">
      <c r="F20" s="9" t="s">
        <v>15</v>
      </c>
      <c r="G20" s="9" t="n">
        <f aca="false">(8760*$G24*'alternativo-potencia'!F11)/1000</f>
        <v>21.402432</v>
      </c>
      <c r="H20" s="9" t="n">
        <f aca="false">(8760*$G24*'alternativo-potencia'!G11)/1000</f>
        <v>491.364168</v>
      </c>
      <c r="I20" s="9"/>
      <c r="J20" s="9" t="s">
        <v>15</v>
      </c>
      <c r="K20" s="9" t="n">
        <f aca="false">(8760*$K24*'alternativo-potencia'!J13)/1000</f>
        <v>15.8647104</v>
      </c>
      <c r="L20" s="9" t="n">
        <f aca="false">(8760*$K24*'alternativo-potencia'!K13)/1000</f>
        <v>361.8664896</v>
      </c>
      <c r="M20" s="9"/>
      <c r="N20" s="9" t="s">
        <v>30</v>
      </c>
      <c r="O20" s="9" t="n">
        <v>0</v>
      </c>
      <c r="P20" s="9" t="n">
        <v>3607.62533284165</v>
      </c>
      <c r="Q20" s="9"/>
      <c r="R20" s="9" t="s">
        <v>12</v>
      </c>
      <c r="S20" s="9" t="n">
        <f aca="false">SUM(S15:S19)</f>
        <v>1946.39743144151</v>
      </c>
      <c r="T20" s="9" t="n">
        <f aca="false">SUM(T15:T19)</f>
        <v>3633.95952319965</v>
      </c>
      <c r="U20" s="9"/>
      <c r="V20" s="9"/>
      <c r="W20" s="9"/>
      <c r="X20" s="9"/>
    </row>
    <row r="21" customFormat="false" ht="15" hidden="false" customHeight="false" outlineLevel="0" collapsed="false">
      <c r="F21" s="9" t="s">
        <v>12</v>
      </c>
      <c r="G21" s="9" t="n">
        <f aca="false">SUM(G15:G20)</f>
        <v>2512.56960964611</v>
      </c>
      <c r="H21" s="9" t="n">
        <f aca="false">SUM(H15:H20)</f>
        <v>3401.12961264753</v>
      </c>
      <c r="I21" s="9"/>
      <c r="J21" s="9" t="s">
        <v>12</v>
      </c>
      <c r="K21" s="9" t="n">
        <f aca="false">SUM(K15:K20)</f>
        <v>3269.04608671336</v>
      </c>
      <c r="L21" s="9" t="n">
        <f aca="false">SUM(L15:L20)</f>
        <v>5305.32166343233</v>
      </c>
      <c r="M21" s="9"/>
      <c r="N21" s="9" t="s">
        <v>15</v>
      </c>
      <c r="O21" s="9" t="n">
        <f aca="false">(8760*$O24*'alternativo-potencia'!N12)/1000</f>
        <v>29.813784</v>
      </c>
      <c r="P21" s="9" t="n">
        <f aca="false">(8760*$O24*'alternativo-potencia'!O12)/1000</f>
        <v>683.16612</v>
      </c>
      <c r="Q21" s="9"/>
      <c r="R21" s="9"/>
      <c r="S21" s="9"/>
      <c r="T21" s="9"/>
      <c r="U21" s="9"/>
      <c r="V21" s="9"/>
      <c r="W21" s="9"/>
      <c r="X21" s="9"/>
    </row>
    <row r="22" customFormat="false" ht="15" hidden="false" customHeight="false" outlineLevel="0" collapsed="false">
      <c r="F22" s="9"/>
      <c r="G22" s="9"/>
      <c r="H22" s="9"/>
      <c r="I22" s="9"/>
      <c r="J22" s="9"/>
      <c r="K22" s="9"/>
      <c r="L22" s="9"/>
      <c r="M22" s="9"/>
      <c r="N22" s="9" t="s">
        <v>12</v>
      </c>
      <c r="O22" s="9" t="n">
        <f aca="false">SUM(O16:O21)</f>
        <v>3467.7192987986</v>
      </c>
      <c r="P22" s="9" t="n">
        <f aca="false">SUM(P16:P21)</f>
        <v>9734.2120632784</v>
      </c>
      <c r="Q22" s="9"/>
      <c r="R22" s="9"/>
      <c r="S22" s="9"/>
      <c r="T22" s="9"/>
      <c r="U22" s="9"/>
      <c r="V22" s="9"/>
      <c r="W22" s="9"/>
      <c r="X22" s="9"/>
    </row>
    <row r="24" customFormat="false" ht="15" hidden="false" customHeight="false" outlineLevel="0" collapsed="false">
      <c r="F24" s="9" t="s">
        <v>33</v>
      </c>
      <c r="G24" s="0" t="n">
        <v>0.2036</v>
      </c>
      <c r="J24" s="9" t="s">
        <v>33</v>
      </c>
      <c r="K24" s="0" t="n">
        <v>0.2156</v>
      </c>
      <c r="N24" s="9" t="s">
        <v>33</v>
      </c>
      <c r="O24" s="0" t="n">
        <v>0.182</v>
      </c>
      <c r="R24" s="9" t="s">
        <v>33</v>
      </c>
      <c r="S24" s="0" t="n">
        <v>0.2256</v>
      </c>
      <c r="V24" s="9" t="s">
        <v>33</v>
      </c>
      <c r="W24" s="0" t="n">
        <v>0.159</v>
      </c>
    </row>
  </sheetData>
  <mergeCells count="10">
    <mergeCell ref="G1:H1"/>
    <mergeCell ref="K1:L1"/>
    <mergeCell ref="O1:P1"/>
    <mergeCell ref="S1:T1"/>
    <mergeCell ref="W1:X1"/>
    <mergeCell ref="G13:H13"/>
    <mergeCell ref="K13:L13"/>
    <mergeCell ref="O13:P13"/>
    <mergeCell ref="S13:T13"/>
    <mergeCell ref="W13:X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2025-10-31T18:53:51Z</dcterms:created>
  <dc:creator>Emilio</dc:creator>
  <dc:description/>
  <dc:language>es-AR</dc:language>
  <cp:lastModifiedBy/>
  <dcterms:modified xsi:type="dcterms:W3CDTF">2025-11-05T15:19:19Z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