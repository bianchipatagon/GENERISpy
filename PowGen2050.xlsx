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<sst xmlns="http://schemas.openxmlformats.org/spreadsheetml/2006/main" count="129" uniqueCount="46">
  <si>
    <t xml:space="preserve">Power Generation</t>
  </si>
  <si>
    <t xml:space="preserve">Scenario: Tendencial Generacion Distribuida Differences vs. Tendencial Generacion Distribuida, 2050, All Regions</t>
  </si>
  <si>
    <t xml:space="preserve">Branch: Transformation\Centrales Eléctricas\Processes</t>
  </si>
  <si>
    <t xml:space="preserve">Units: Megawatts</t>
  </si>
  <si>
    <t xml:space="preserve">Branch</t>
  </si>
  <si>
    <t xml:space="preserve">Dry: Hr 1-2</t>
  </si>
  <si>
    <t xml:space="preserve">Dry: Hr 3-4</t>
  </si>
  <si>
    <t xml:space="preserve">Dry: Hr 5-6</t>
  </si>
  <si>
    <t xml:space="preserve">Dry: Hr 7-8</t>
  </si>
  <si>
    <t xml:space="preserve">Dry: Hr 9-10</t>
  </si>
  <si>
    <t xml:space="preserve">Dry: Hr 11-12</t>
  </si>
  <si>
    <t xml:space="preserve">Dry: Hr 13-14</t>
  </si>
  <si>
    <t xml:space="preserve">Dry: Hr 15-16</t>
  </si>
  <si>
    <t xml:space="preserve">Dry: Hr 17-18</t>
  </si>
  <si>
    <t xml:space="preserve">Dry: Hr 19-20</t>
  </si>
  <si>
    <t xml:space="preserve">Dry: Hr 21-22</t>
  </si>
  <si>
    <t xml:space="preserve">Dry: Hr 23-24</t>
  </si>
  <si>
    <t xml:space="preserve">Wet: Hr 1-2</t>
  </si>
  <si>
    <t xml:space="preserve">Wet: Hr 3-4</t>
  </si>
  <si>
    <t xml:space="preserve">Wet: Hr 5-6</t>
  </si>
  <si>
    <t xml:space="preserve">Wet: Hr 7-8</t>
  </si>
  <si>
    <t xml:space="preserve">Wet: Hr 9-10</t>
  </si>
  <si>
    <t xml:space="preserve">Wet: Hr 11-12</t>
  </si>
  <si>
    <t xml:space="preserve">Wet: Hr 13-14</t>
  </si>
  <si>
    <t xml:space="preserve">Wet: Hr 15-16</t>
  </si>
  <si>
    <t xml:space="preserve">Wet: Hr 17-18</t>
  </si>
  <si>
    <t xml:space="preserve">Wet: Hr 19-20</t>
  </si>
  <si>
    <t xml:space="preserve">Wet: Hr 21-22</t>
  </si>
  <si>
    <t xml:space="preserve">Wet: Hr 23-24</t>
  </si>
  <si>
    <t xml:space="preserve">Total</t>
  </si>
  <si>
    <t xml:space="preserve">TG_ex</t>
  </si>
  <si>
    <t xml:space="preserve">TG_nv</t>
  </si>
  <si>
    <t xml:space="preserve">TV_ex</t>
  </si>
  <si>
    <t xml:space="preserve">Motor Dual_ex</t>
  </si>
  <si>
    <t xml:space="preserve">CC_ex</t>
  </si>
  <si>
    <t xml:space="preserve">Solar_nv</t>
  </si>
  <si>
    <t xml:space="preserve">hora</t>
  </si>
  <si>
    <t xml:space="preserve">TG</t>
  </si>
  <si>
    <t xml:space="preserve">TV</t>
  </si>
  <si>
    <t xml:space="preserve">Motor</t>
  </si>
  <si>
    <t xml:space="preserve">CC</t>
  </si>
  <si>
    <t xml:space="preserve">Solar</t>
  </si>
  <si>
    <t xml:space="preserve">Tgn</t>
  </si>
  <si>
    <t xml:space="preserve">Motorn</t>
  </si>
  <si>
    <t xml:space="preserve">Fosil</t>
  </si>
  <si>
    <t xml:space="preserve">Fosiln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</si>
</sst>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 * #,##0.000_ ;_ * \-#,##0.000_ ;_ * \-??_ ;_ @_ 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E2EDFA"/>
      </patternFill>
    </fill>
    <fill>
      <patternFill patternType="solid">
        <fgColor rgb="FFE2EDFA"/>
        <bgColor rgb="FFDCDC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DFA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R7" activePane="bottomRight" state="frozen"/>
      <selection pane="topLeft" activeCell="A1" activeCellId="0" sqref="A1"/>
      <selection pane="topRight" activeCell="R1" activeCellId="0" sqref="R1"/>
      <selection pane="bottomLeft" activeCell="A7" activeCellId="0" sqref="A7"/>
      <selection pane="bottomRight" activeCell="A14" activeCellId="0" sqref="A14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17.92"/>
    <col collapsed="false" customWidth="true" hidden="false" outlineLevel="0" max="5" min="2" style="0" width="10.13"/>
    <col collapsed="false" customWidth="true" hidden="false" outlineLevel="0" max="6" min="6" style="0" width="11.14"/>
    <col collapsed="false" customWidth="true" hidden="false" outlineLevel="0" max="13" min="7" style="0" width="12.14"/>
    <col collapsed="false" customWidth="true" hidden="false" outlineLevel="0" max="17" min="14" style="0" width="10.85"/>
    <col collapsed="false" customWidth="true" hidden="false" outlineLevel="0" max="18" min="18" style="0" width="11.86"/>
    <col collapsed="false" customWidth="true" hidden="false" outlineLevel="0" max="25" min="19" style="0" width="12.8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</row>
    <row r="7" customFormat="false" ht="15" hidden="false" customHeight="false" outlineLevel="0" collapsed="false">
      <c r="A7" s="0" t="s">
        <v>30</v>
      </c>
      <c r="B7" s="3" t="n">
        <v>0.0119174740844755</v>
      </c>
      <c r="C7" s="3" t="n">
        <v>0.0119174740846502</v>
      </c>
      <c r="D7" s="3" t="n">
        <v>-0.00860625414229799</v>
      </c>
      <c r="E7" s="3" t="n">
        <v>-67.6344777787898</v>
      </c>
      <c r="F7" s="3" t="n">
        <v>-170.790916860594</v>
      </c>
      <c r="G7" s="3" t="n">
        <v>-98.1651093238299</v>
      </c>
      <c r="H7" s="3" t="n">
        <v>-56.3328556787868</v>
      </c>
      <c r="I7" s="3" t="n">
        <v>-42.3426666773471</v>
      </c>
      <c r="J7" s="3" t="n">
        <v>-151.38540984485</v>
      </c>
      <c r="K7" s="3" t="n">
        <v>-0.146056539225079</v>
      </c>
      <c r="L7" s="3" t="n">
        <v>0.0250292592764235</v>
      </c>
      <c r="M7" s="3" t="n">
        <v>0.0523668652744964</v>
      </c>
      <c r="N7" s="3" t="n">
        <v>0.0523668652746892</v>
      </c>
      <c r="O7" s="3" t="n">
        <v>0.0523668652747474</v>
      </c>
      <c r="P7" s="3" t="n">
        <v>-0.204926755915243</v>
      </c>
      <c r="Q7" s="3" t="n">
        <v>-77.1007509762398</v>
      </c>
      <c r="R7" s="3" t="n">
        <v>-146.069353605701</v>
      </c>
      <c r="S7" s="3" t="n">
        <v>-115.720367413715</v>
      </c>
      <c r="T7" s="3" t="n">
        <v>-75.0728278728152</v>
      </c>
      <c r="U7" s="3" t="n">
        <v>-70.4659422052748</v>
      </c>
      <c r="V7" s="3" t="n">
        <v>-74.6175477097133</v>
      </c>
      <c r="W7" s="3" t="n">
        <v>-2.51860679620828</v>
      </c>
      <c r="X7" s="3" t="n">
        <v>0.0928162564636696</v>
      </c>
      <c r="Y7" s="3" t="n">
        <v>0.052366865274279</v>
      </c>
      <c r="Z7" s="3" t="n">
        <v>-1148.22527436814</v>
      </c>
    </row>
    <row r="8" customFormat="false" ht="15" hidden="false" customHeight="false" outlineLevel="0" collapsed="false">
      <c r="A8" s="0" t="s">
        <v>31</v>
      </c>
      <c r="B8" s="3" t="n">
        <v>-0.0119174740847184</v>
      </c>
      <c r="C8" s="3" t="n">
        <v>-0.0119174740847184</v>
      </c>
      <c r="D8" s="3" t="n">
        <v>-0.0119174740847184</v>
      </c>
      <c r="E8" s="3" t="n">
        <v>-9.65788272453261</v>
      </c>
      <c r="F8" s="3" t="n">
        <v>-0.0507203560826165</v>
      </c>
      <c r="G8" s="3" t="n">
        <v>-122.473512926381</v>
      </c>
      <c r="H8" s="3" t="n">
        <v>-122.473512926381</v>
      </c>
      <c r="I8" s="3" t="n">
        <v>-64.0264026745782</v>
      </c>
      <c r="J8" s="3" t="n">
        <v>-0.0523668652744991</v>
      </c>
      <c r="K8" s="3" t="n">
        <v>-0.0523668652744991</v>
      </c>
      <c r="L8" s="3" t="n">
        <v>-0.0523668652744991</v>
      </c>
      <c r="M8" s="3" t="n">
        <v>-0.0523668652744991</v>
      </c>
      <c r="N8" s="3" t="n">
        <v>-0.0523668652744996</v>
      </c>
      <c r="O8" s="3" t="n">
        <v>-0.0523668652744996</v>
      </c>
      <c r="P8" s="3" t="n">
        <v>-0.0523668652744996</v>
      </c>
      <c r="Q8" s="3" t="n">
        <v>-1.72802032735393</v>
      </c>
      <c r="R8" s="3" t="n">
        <v>-22.6540098286957</v>
      </c>
      <c r="S8" s="3" t="n">
        <v>-120.024809511439</v>
      </c>
      <c r="T8" s="3" t="n">
        <v>-122.473512926381</v>
      </c>
      <c r="U8" s="3" t="n">
        <v>-109.918233775728</v>
      </c>
      <c r="V8" s="3" t="n">
        <v>-1.72802032735393</v>
      </c>
      <c r="W8" s="3" t="n">
        <v>-0.0523668652744996</v>
      </c>
      <c r="X8" s="3" t="n">
        <v>-0.0523668652744996</v>
      </c>
      <c r="Y8" s="3" t="n">
        <v>-0.0523668652744996</v>
      </c>
      <c r="Z8" s="3" t="n">
        <v>-697.768059379906</v>
      </c>
    </row>
    <row r="9" customFormat="false" ht="15" hidden="false" customHeight="false" outlineLevel="0" collapsed="false">
      <c r="A9" s="0" t="s">
        <v>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-17.3704065421798</v>
      </c>
      <c r="H9" s="3" t="n">
        <v>-27.381437784952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-2.847526</v>
      </c>
      <c r="S9" s="3" t="n">
        <v>-2.8955875</v>
      </c>
      <c r="T9" s="3" t="n">
        <v>-19.294746335</v>
      </c>
      <c r="U9" s="3" t="n">
        <v>-2.91852825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-72.7082324121317</v>
      </c>
    </row>
    <row r="10" customFormat="false" ht="15" hidden="false" customHeight="false" outlineLevel="0" collapsed="false">
      <c r="A10" s="0" t="s">
        <v>33</v>
      </c>
      <c r="B10" s="3" t="n">
        <v>0</v>
      </c>
      <c r="C10" s="3" t="n">
        <v>0</v>
      </c>
      <c r="D10" s="3" t="n">
        <v>-0.000163971139298155</v>
      </c>
      <c r="E10" s="3" t="n">
        <v>-0.617515310592598</v>
      </c>
      <c r="F10" s="3" t="n">
        <v>-3.40633644775633</v>
      </c>
      <c r="G10" s="3" t="n">
        <v>-38.926562839603</v>
      </c>
      <c r="H10" s="3" t="n">
        <v>-38.9969615526643</v>
      </c>
      <c r="I10" s="3" t="n">
        <v>-3.83074819467528</v>
      </c>
      <c r="J10" s="3" t="n">
        <v>-1.20988859845448</v>
      </c>
      <c r="K10" s="3" t="n">
        <v>-0.00158527297472028</v>
      </c>
      <c r="L10" s="3" t="n">
        <v>-0.000218409557543055</v>
      </c>
      <c r="M10" s="3" t="n">
        <v>0</v>
      </c>
      <c r="N10" s="3" t="n">
        <v>0</v>
      </c>
      <c r="O10" s="3" t="n">
        <v>0</v>
      </c>
      <c r="P10" s="3" t="n">
        <v>-0.00205560742831767</v>
      </c>
      <c r="Q10" s="3" t="n">
        <v>-0.780104019179287</v>
      </c>
      <c r="R10" s="3" t="n">
        <v>-37.4673483365772</v>
      </c>
      <c r="S10" s="3" t="n">
        <v>-8.32892317342953</v>
      </c>
      <c r="T10" s="3" t="n">
        <v>-28.0200421516702</v>
      </c>
      <c r="U10" s="3" t="n">
        <v>-26.0384421559375</v>
      </c>
      <c r="V10" s="3" t="n">
        <v>-1.44630418373597</v>
      </c>
      <c r="W10" s="3" t="n">
        <v>-0.0407834380693457</v>
      </c>
      <c r="X10" s="3" t="n">
        <v>0.0309452274086725</v>
      </c>
      <c r="Y10" s="3" t="n">
        <v>0</v>
      </c>
      <c r="Z10" s="3" t="n">
        <v>-189.083038436036</v>
      </c>
    </row>
    <row r="11" customFormat="false" ht="15" hidden="false" customHeight="false" outlineLevel="0" collapsed="false">
      <c r="A11" s="0" t="s">
        <v>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-255.518292973451</v>
      </c>
      <c r="G11" s="3" t="n">
        <v>-322.549621917463</v>
      </c>
      <c r="H11" s="3" t="n">
        <v>-373.68210260979</v>
      </c>
      <c r="I11" s="3" t="n">
        <v>-373.113083367753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-225.633482370798</v>
      </c>
      <c r="S11" s="3" t="n">
        <v>-164.83844936318</v>
      </c>
      <c r="T11" s="3" t="n">
        <v>-188.194246802403</v>
      </c>
      <c r="U11" s="3" t="n">
        <v>-202.25962868506</v>
      </c>
      <c r="V11" s="3" t="n">
        <v>-99.6120699441572</v>
      </c>
      <c r="W11" s="3" t="n">
        <v>-2.5337551504983</v>
      </c>
      <c r="X11" s="3" t="n">
        <v>-0.0713946185977547</v>
      </c>
      <c r="Y11" s="3" t="n">
        <v>0</v>
      </c>
      <c r="Z11" s="3" t="n">
        <v>-2208.00612780315</v>
      </c>
    </row>
    <row r="12" customFormat="false" ht="15" hidden="false" customHeight="false" outlineLevel="0" collapsed="false">
      <c r="A12" s="0" t="s">
        <v>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-10.4996829079378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-0.268881626136441</v>
      </c>
      <c r="S12" s="3" t="n">
        <v>-195.863761918054</v>
      </c>
      <c r="T12" s="3" t="n">
        <v>-149.229719130444</v>
      </c>
      <c r="U12" s="3" t="n">
        <v>-53.392538964457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-409.254584547029</v>
      </c>
    </row>
    <row r="13" customFormat="false" ht="15" hidden="false" customHeight="false" outlineLevel="0" collapsed="false">
      <c r="A13" s="2" t="s">
        <v>29</v>
      </c>
      <c r="B13" s="4" t="n">
        <v>-2.42835265784613E-013</v>
      </c>
      <c r="C13" s="4" t="n">
        <v>-6.821279652236E-014</v>
      </c>
      <c r="D13" s="4" t="n">
        <v>-0.0206876993663145</v>
      </c>
      <c r="E13" s="4" t="n">
        <v>-77.909875813915</v>
      </c>
      <c r="F13" s="4" t="n">
        <v>-429.766266637884</v>
      </c>
      <c r="G13" s="4" t="n">
        <v>-609.984896457395</v>
      </c>
      <c r="H13" s="4" t="n">
        <v>-618.866870552574</v>
      </c>
      <c r="I13" s="4" t="n">
        <v>-483.312900914353</v>
      </c>
      <c r="J13" s="4" t="n">
        <v>-152.647665308579</v>
      </c>
      <c r="K13" s="4" t="n">
        <v>-0.200008677474299</v>
      </c>
      <c r="L13" s="4" t="n">
        <v>-0.0275560155556186</v>
      </c>
      <c r="M13" s="4" t="n">
        <v>-2.72698530423554E-015</v>
      </c>
      <c r="N13" s="4" t="n">
        <v>1.89626092605977E-013</v>
      </c>
      <c r="O13" s="4" t="n">
        <v>2.47836473565854E-013</v>
      </c>
      <c r="P13" s="4" t="n">
        <v>-0.25934922861806</v>
      </c>
      <c r="Q13" s="4" t="n">
        <v>-79.608875322773</v>
      </c>
      <c r="R13" s="4" t="n">
        <v>-434.940601767908</v>
      </c>
      <c r="S13" s="4" t="n">
        <v>-607.671898879818</v>
      </c>
      <c r="T13" s="4" t="n">
        <v>-582.285095218714</v>
      </c>
      <c r="U13" s="4" t="n">
        <v>-464.993314036458</v>
      </c>
      <c r="V13" s="4" t="n">
        <v>-177.40394216496</v>
      </c>
      <c r="W13" s="4" t="n">
        <v>-5.14551225005043</v>
      </c>
      <c r="X13" s="4" t="n">
        <v>8.77631300966186E-014</v>
      </c>
      <c r="Y13" s="4" t="n">
        <v>-2.20552742735691E-013</v>
      </c>
      <c r="Z13" s="4" t="n">
        <v>-4725.04531694639</v>
      </c>
    </row>
    <row r="14" customFormat="false" ht="13.8" hidden="false" customHeight="false" outlineLevel="0" collapsed="false">
      <c r="A14" s="0" t="s">
        <v>36</v>
      </c>
      <c r="B14" s="2" t="s">
        <v>5</v>
      </c>
      <c r="C14" s="2" t="s">
        <v>6</v>
      </c>
      <c r="D14" s="2" t="s">
        <v>7</v>
      </c>
      <c r="E14" s="2" t="s">
        <v>8</v>
      </c>
      <c r="F14" s="2" t="s">
        <v>9</v>
      </c>
      <c r="G14" s="2" t="s">
        <v>10</v>
      </c>
      <c r="H14" s="2" t="s">
        <v>11</v>
      </c>
      <c r="I14" s="2" t="s">
        <v>12</v>
      </c>
      <c r="J14" s="2" t="s">
        <v>13</v>
      </c>
      <c r="K14" s="2" t="s">
        <v>14</v>
      </c>
      <c r="L14" s="2" t="s">
        <v>15</v>
      </c>
      <c r="M14" s="2" t="s">
        <v>16</v>
      </c>
      <c r="N14" s="2" t="s">
        <v>17</v>
      </c>
      <c r="O14" s="2" t="s">
        <v>18</v>
      </c>
      <c r="P14" s="2" t="s">
        <v>19</v>
      </c>
      <c r="Q14" s="2" t="s">
        <v>20</v>
      </c>
      <c r="R14" s="2" t="s">
        <v>21</v>
      </c>
      <c r="S14" s="2" t="s">
        <v>22</v>
      </c>
      <c r="T14" s="2" t="s">
        <v>23</v>
      </c>
      <c r="U14" s="2" t="s">
        <v>24</v>
      </c>
      <c r="V14" s="2" t="s">
        <v>25</v>
      </c>
      <c r="W14" s="2" t="s">
        <v>26</v>
      </c>
      <c r="X14" s="2" t="s">
        <v>27</v>
      </c>
      <c r="Y14" s="2" t="s">
        <v>28</v>
      </c>
    </row>
    <row r="15" customFormat="false" ht="15" hidden="false" customHeight="false" outlineLevel="0" collapsed="false">
      <c r="A15" s="0" t="s">
        <v>37</v>
      </c>
      <c r="B15" s="0" t="n">
        <f aca="false">SUM(B7:B8)</f>
        <v>-2.42835265784613E-013</v>
      </c>
      <c r="C15" s="0" t="n">
        <f aca="false">SUM(C7:C8)</f>
        <v>-6.821279652236E-014</v>
      </c>
      <c r="D15" s="0" t="n">
        <f aca="false">SUM(D7:D8)</f>
        <v>-0.0205237282270164</v>
      </c>
      <c r="E15" s="0" t="n">
        <f aca="false">SUM(E7:E8)</f>
        <v>-77.2923605033224</v>
      </c>
      <c r="F15" s="0" t="n">
        <f aca="false">SUM(F7:F8)</f>
        <v>-170.841637216676</v>
      </c>
      <c r="G15" s="0" t="n">
        <f aca="false">SUM(G7:G8)</f>
        <v>-220.638622250211</v>
      </c>
      <c r="H15" s="0" t="n">
        <f aca="false">SUM(H7:H8)</f>
        <v>-178.806368605168</v>
      </c>
      <c r="I15" s="0" t="n">
        <f aca="false">SUM(I7:I8)</f>
        <v>-106.369069351925</v>
      </c>
      <c r="J15" s="0" t="n">
        <f aca="false">SUM(J7:J8)</f>
        <v>-151.437776710124</v>
      </c>
      <c r="K15" s="0" t="n">
        <f aca="false">SUM(K7:K8)</f>
        <v>-0.198423404499578</v>
      </c>
      <c r="L15" s="0" t="n">
        <f aca="false">SUM(L7:L8)</f>
        <v>-0.0273376059980756</v>
      </c>
      <c r="M15" s="0" t="n">
        <f aca="false">SUM(M7:M8)</f>
        <v>-2.72698530423554E-015</v>
      </c>
      <c r="N15" s="0" t="n">
        <f aca="false">SUM(N7:N8)</f>
        <v>1.89626092605977E-013</v>
      </c>
      <c r="O15" s="0" t="n">
        <f aca="false">SUM(O7:O8)</f>
        <v>2.47836473565854E-013</v>
      </c>
      <c r="P15" s="0" t="n">
        <f aca="false">SUM(P7:P8)</f>
        <v>-0.257293621189743</v>
      </c>
      <c r="Q15" s="0" t="n">
        <f aca="false">SUM(Q7:Q8)</f>
        <v>-78.8287713035937</v>
      </c>
      <c r="R15" s="0" t="n">
        <f aca="false">SUM(R7:R8)</f>
        <v>-168.723363434397</v>
      </c>
      <c r="S15" s="0" t="n">
        <f aca="false">SUM(S7:S8)</f>
        <v>-235.745176925154</v>
      </c>
      <c r="T15" s="0" t="n">
        <f aca="false">SUM(T7:T8)</f>
        <v>-197.546340799196</v>
      </c>
      <c r="U15" s="0" t="n">
        <f aca="false">SUM(U7:U8)</f>
        <v>-180.384175981003</v>
      </c>
      <c r="V15" s="0" t="n">
        <f aca="false">SUM(V7:V8)</f>
        <v>-76.3455680370673</v>
      </c>
      <c r="W15" s="0" t="n">
        <f aca="false">SUM(W7:W8)</f>
        <v>-2.57097366148278</v>
      </c>
      <c r="X15" s="0" t="n">
        <f aca="false">SUM(X7:X8)</f>
        <v>0.04044939118917</v>
      </c>
      <c r="Y15" s="0" t="n">
        <f aca="false">SUM(Y7:Y8)</f>
        <v>-2.20552742735691E-013</v>
      </c>
      <c r="Z15" s="0" t="n">
        <f aca="false">SUM(Z7:Z8)</f>
        <v>-1845.99333374805</v>
      </c>
    </row>
    <row r="16" customFormat="false" ht="13.8" hidden="false" customHeight="false" outlineLevel="0" collapsed="false">
      <c r="A16" s="0" t="s">
        <v>38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-17.3704065421798</v>
      </c>
      <c r="H16" s="0" t="n">
        <v>-27.381437784952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-2.847526</v>
      </c>
      <c r="S16" s="0" t="n">
        <v>-2.8955875</v>
      </c>
      <c r="T16" s="0" t="n">
        <v>-19.294746335</v>
      </c>
      <c r="U16" s="0" t="n">
        <v>-2.91852825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-72.7082324121317</v>
      </c>
    </row>
    <row r="17" customFormat="false" ht="13.8" hidden="false" customHeight="false" outlineLevel="0" collapsed="false">
      <c r="A17" s="0" t="s">
        <v>39</v>
      </c>
      <c r="B17" s="0" t="n">
        <v>0</v>
      </c>
      <c r="C17" s="0" t="n">
        <v>0</v>
      </c>
      <c r="D17" s="0" t="n">
        <v>-0.000163971139298155</v>
      </c>
      <c r="E17" s="0" t="n">
        <v>-0.617515310592598</v>
      </c>
      <c r="F17" s="0" t="n">
        <v>-3.40633644775633</v>
      </c>
      <c r="G17" s="0" t="n">
        <v>-38.926562839603</v>
      </c>
      <c r="H17" s="0" t="n">
        <v>-38.9969615526643</v>
      </c>
      <c r="I17" s="0" t="n">
        <v>-3.83074819467528</v>
      </c>
      <c r="J17" s="0" t="n">
        <v>-1.20988859845448</v>
      </c>
      <c r="K17" s="0" t="n">
        <v>-0.00158527297472028</v>
      </c>
      <c r="L17" s="0" t="n">
        <v>-0.000218409557543055</v>
      </c>
      <c r="M17" s="0" t="n">
        <v>0</v>
      </c>
      <c r="N17" s="0" t="n">
        <v>0</v>
      </c>
      <c r="O17" s="0" t="n">
        <v>0</v>
      </c>
      <c r="P17" s="0" t="n">
        <v>-0.00205560742831767</v>
      </c>
      <c r="Q17" s="0" t="n">
        <v>-0.780104019179287</v>
      </c>
      <c r="R17" s="0" t="n">
        <v>-37.4673483365772</v>
      </c>
      <c r="S17" s="0" t="n">
        <v>-8.32892317342953</v>
      </c>
      <c r="T17" s="0" t="n">
        <v>-28.0200421516702</v>
      </c>
      <c r="U17" s="0" t="n">
        <v>-26.0384421559375</v>
      </c>
      <c r="V17" s="0" t="n">
        <v>-1.44630418373597</v>
      </c>
      <c r="W17" s="0" t="n">
        <v>-0.0407834380693457</v>
      </c>
      <c r="X17" s="0" t="n">
        <v>0.0309452274086725</v>
      </c>
      <c r="Y17" s="0" t="n">
        <v>0</v>
      </c>
      <c r="Z17" s="0" t="n">
        <v>-189.083038436036</v>
      </c>
    </row>
    <row r="18" customFormat="false" ht="13.8" hidden="false" customHeight="false" outlineLevel="0" collapsed="false">
      <c r="A18" s="0" t="s">
        <v>40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-255.518292973451</v>
      </c>
      <c r="G18" s="0" t="n">
        <v>-322.549621917463</v>
      </c>
      <c r="H18" s="0" t="n">
        <v>-373.68210260979</v>
      </c>
      <c r="I18" s="0" t="n">
        <v>-373.113083367753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-225.633482370798</v>
      </c>
      <c r="S18" s="0" t="n">
        <v>-164.83844936318</v>
      </c>
      <c r="T18" s="0" t="n">
        <v>-188.194246802403</v>
      </c>
      <c r="U18" s="0" t="n">
        <v>-202.25962868506</v>
      </c>
      <c r="V18" s="0" t="n">
        <v>-99.6120699441572</v>
      </c>
      <c r="W18" s="0" t="n">
        <v>-2.5337551504983</v>
      </c>
      <c r="X18" s="0" t="n">
        <v>-0.0713946185977547</v>
      </c>
      <c r="Y18" s="0" t="n">
        <v>0</v>
      </c>
      <c r="Z18" s="0" t="n">
        <v>-2208.00612780315</v>
      </c>
    </row>
    <row r="19" customFormat="false" ht="13.8" hidden="false" customHeight="false" outlineLevel="0" collapsed="false">
      <c r="A19" s="0" t="s">
        <v>41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-10.4996829079378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-0.268881626136441</v>
      </c>
      <c r="S19" s="0" t="n">
        <v>-195.863761918054</v>
      </c>
      <c r="T19" s="0" t="n">
        <v>-149.229719130444</v>
      </c>
      <c r="U19" s="0" t="n">
        <v>-53.392538964457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-409.254584547029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52"/>
  <sheetViews>
    <sheetView showFormulas="false" showGridLines="true" showRowColHeaders="true" showZeros="true" rightToLeft="false" tabSelected="false" showOutlineSymbols="true" defaultGridColor="true" view="normal" topLeftCell="A10" colorId="64" zoomScale="150" zoomScaleNormal="150" zoomScalePageLayoutView="100" workbookViewId="0">
      <selection pane="topLeft" activeCell="H34" activeCellId="0" sqref="H34"/>
    </sheetView>
  </sheetViews>
  <sheetFormatPr defaultColWidth="11.55078125" defaultRowHeight="13.8" zeroHeight="false" outlineLevelRow="0" outlineLevelCol="0"/>
  <sheetData>
    <row r="2" customFormat="false" ht="13.8" hidden="false" customHeight="false" outlineLevel="0" collapsed="false">
      <c r="B2" s="0" t="s">
        <v>36</v>
      </c>
      <c r="C2" s="0" t="s">
        <v>37</v>
      </c>
      <c r="D2" s="0" t="s">
        <v>42</v>
      </c>
      <c r="E2" s="0" t="s">
        <v>38</v>
      </c>
      <c r="F2" s="0" t="s">
        <v>39</v>
      </c>
      <c r="G2" s="0" t="s">
        <v>43</v>
      </c>
      <c r="H2" s="0" t="s">
        <v>40</v>
      </c>
      <c r="I2" s="0" t="s">
        <v>44</v>
      </c>
      <c r="J2" s="0" t="s">
        <v>45</v>
      </c>
      <c r="K2" s="0" t="s">
        <v>41</v>
      </c>
    </row>
    <row r="3" customFormat="false" ht="13.8" hidden="false" customHeight="false" outlineLevel="0" collapsed="false">
      <c r="B3" s="0" t="s">
        <v>5</v>
      </c>
      <c r="C3" s="0" t="n">
        <v>0</v>
      </c>
      <c r="D3" s="0" t="n">
        <v>-2.42835265784613E-013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f aca="false">C3+F3</f>
        <v>0</v>
      </c>
      <c r="J3" s="0" t="n">
        <f aca="false">D3+E3+G3+H3</f>
        <v>-2.42835265784613E-013</v>
      </c>
      <c r="K3" s="0" t="n">
        <v>0</v>
      </c>
    </row>
    <row r="4" customFormat="false" ht="13.8" hidden="false" customHeight="false" outlineLevel="0" collapsed="false">
      <c r="B4" s="0" t="s">
        <v>6</v>
      </c>
      <c r="C4" s="0" t="n">
        <v>0</v>
      </c>
      <c r="D4" s="0" t="n">
        <v>-6.821279652236E-014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f aca="false">C4+F4</f>
        <v>0</v>
      </c>
      <c r="J4" s="0" t="n">
        <f aca="false">D4+E4+G4+H4</f>
        <v>-6.821279652236E-014</v>
      </c>
      <c r="K4" s="0" t="n">
        <v>0</v>
      </c>
    </row>
    <row r="5" customFormat="false" ht="13.8" hidden="false" customHeight="false" outlineLevel="0" collapsed="false">
      <c r="B5" s="0" t="s">
        <v>7</v>
      </c>
      <c r="C5" s="0" t="n">
        <v>0</v>
      </c>
      <c r="D5" s="0" t="n">
        <v>-0.0205237282270164</v>
      </c>
      <c r="E5" s="0" t="n">
        <v>0</v>
      </c>
      <c r="F5" s="0" t="n">
        <v>0</v>
      </c>
      <c r="G5" s="0" t="n">
        <v>-0.000163971139298155</v>
      </c>
      <c r="H5" s="0" t="n">
        <v>0</v>
      </c>
      <c r="I5" s="0" t="n">
        <f aca="false">C5+F5</f>
        <v>0</v>
      </c>
      <c r="J5" s="0" t="n">
        <f aca="false">D5+E5+G5+H5</f>
        <v>-0.0206876993663146</v>
      </c>
      <c r="K5" s="0" t="n">
        <v>0</v>
      </c>
    </row>
    <row r="6" customFormat="false" ht="13.8" hidden="false" customHeight="false" outlineLevel="0" collapsed="false">
      <c r="B6" s="0" t="s">
        <v>8</v>
      </c>
      <c r="C6" s="0" t="n">
        <v>0</v>
      </c>
      <c r="D6" s="0" t="n">
        <v>-77.2923605033224</v>
      </c>
      <c r="E6" s="0" t="n">
        <v>0</v>
      </c>
      <c r="F6" s="0" t="n">
        <v>0</v>
      </c>
      <c r="G6" s="0" t="n">
        <v>-0.617515310592598</v>
      </c>
      <c r="H6" s="0" t="n">
        <v>0</v>
      </c>
      <c r="I6" s="0" t="n">
        <f aca="false">C6+F6</f>
        <v>0</v>
      </c>
      <c r="J6" s="0" t="n">
        <f aca="false">D6+E6+G6+H6</f>
        <v>-77.909875813915</v>
      </c>
      <c r="K6" s="0" t="n">
        <v>0</v>
      </c>
    </row>
    <row r="7" customFormat="false" ht="13.8" hidden="false" customHeight="false" outlineLevel="0" collapsed="false">
      <c r="B7" s="0" t="s">
        <v>9</v>
      </c>
      <c r="C7" s="0" t="n">
        <v>0</v>
      </c>
      <c r="D7" s="0" t="n">
        <v>-170.841637216676</v>
      </c>
      <c r="E7" s="0" t="n">
        <v>0</v>
      </c>
      <c r="F7" s="0" t="n">
        <v>0</v>
      </c>
      <c r="G7" s="0" t="n">
        <v>-3.40633644775633</v>
      </c>
      <c r="H7" s="0" t="n">
        <v>-255.518292973451</v>
      </c>
      <c r="I7" s="0" t="n">
        <f aca="false">C7+F7</f>
        <v>0</v>
      </c>
      <c r="J7" s="0" t="n">
        <f aca="false">D7+E7+G7+H7</f>
        <v>-429.766266637883</v>
      </c>
      <c r="K7" s="0" t="n">
        <v>0</v>
      </c>
    </row>
    <row r="8" customFormat="false" ht="13.8" hidden="false" customHeight="false" outlineLevel="0" collapsed="false">
      <c r="B8" s="0" t="s">
        <v>10</v>
      </c>
      <c r="C8" s="0" t="n">
        <v>0</v>
      </c>
      <c r="D8" s="0" t="n">
        <v>-220.638622250211</v>
      </c>
      <c r="E8" s="0" t="n">
        <v>-17.3704065421798</v>
      </c>
      <c r="F8" s="0" t="n">
        <v>0</v>
      </c>
      <c r="G8" s="0" t="n">
        <v>-38.926562839603</v>
      </c>
      <c r="H8" s="0" t="n">
        <v>-322.549621917463</v>
      </c>
      <c r="I8" s="0" t="n">
        <f aca="false">C8+F8</f>
        <v>0</v>
      </c>
      <c r="J8" s="0" t="n">
        <f aca="false">D8+E8+G8+H8</f>
        <v>-599.485213549457</v>
      </c>
      <c r="K8" s="0" t="n">
        <v>-10.4996829079378</v>
      </c>
    </row>
    <row r="9" customFormat="false" ht="13.8" hidden="false" customHeight="false" outlineLevel="0" collapsed="false">
      <c r="B9" s="0" t="s">
        <v>11</v>
      </c>
      <c r="C9" s="0" t="n">
        <v>0</v>
      </c>
      <c r="D9" s="0" t="n">
        <v>-178.806368605168</v>
      </c>
      <c r="E9" s="0" t="n">
        <v>-27.381437784952</v>
      </c>
      <c r="F9" s="0" t="n">
        <v>0</v>
      </c>
      <c r="G9" s="0" t="n">
        <v>-38.9969615526643</v>
      </c>
      <c r="H9" s="0" t="n">
        <v>-373.68210260979</v>
      </c>
      <c r="I9" s="0" t="n">
        <f aca="false">C9+F9</f>
        <v>0</v>
      </c>
      <c r="J9" s="0" t="n">
        <f aca="false">D9+E9+G9+H9</f>
        <v>-618.866870552574</v>
      </c>
      <c r="K9" s="0" t="n">
        <v>0</v>
      </c>
    </row>
    <row r="10" customFormat="false" ht="13.8" hidden="false" customHeight="false" outlineLevel="0" collapsed="false">
      <c r="B10" s="0" t="s">
        <v>12</v>
      </c>
      <c r="C10" s="0" t="n">
        <v>0</v>
      </c>
      <c r="D10" s="0" t="n">
        <v>-106.369069351925</v>
      </c>
      <c r="E10" s="0" t="n">
        <v>0</v>
      </c>
      <c r="F10" s="0" t="n">
        <v>0</v>
      </c>
      <c r="G10" s="0" t="n">
        <v>-3.83074819467528</v>
      </c>
      <c r="H10" s="0" t="n">
        <v>-373.113083367753</v>
      </c>
      <c r="I10" s="0" t="n">
        <f aca="false">C10+F10</f>
        <v>0</v>
      </c>
      <c r="J10" s="0" t="n">
        <f aca="false">D10+E10+G10+H10</f>
        <v>-483.312900914353</v>
      </c>
      <c r="K10" s="0" t="n">
        <v>0</v>
      </c>
    </row>
    <row r="11" customFormat="false" ht="13.8" hidden="false" customHeight="false" outlineLevel="0" collapsed="false">
      <c r="B11" s="0" t="s">
        <v>13</v>
      </c>
      <c r="C11" s="0" t="n">
        <v>0</v>
      </c>
      <c r="D11" s="0" t="n">
        <v>-151.437776710124</v>
      </c>
      <c r="E11" s="0" t="n">
        <v>0</v>
      </c>
      <c r="F11" s="0" t="n">
        <v>0</v>
      </c>
      <c r="G11" s="0" t="n">
        <v>-1.20988859845448</v>
      </c>
      <c r="H11" s="0" t="n">
        <v>0</v>
      </c>
      <c r="I11" s="0" t="n">
        <f aca="false">C11+F11</f>
        <v>0</v>
      </c>
      <c r="J11" s="0" t="n">
        <f aca="false">D11+E11+G11+H11</f>
        <v>-152.647665308579</v>
      </c>
      <c r="K11" s="0" t="n">
        <v>0</v>
      </c>
    </row>
    <row r="12" customFormat="false" ht="13.8" hidden="false" customHeight="false" outlineLevel="0" collapsed="false">
      <c r="B12" s="0" t="s">
        <v>14</v>
      </c>
      <c r="C12" s="0" t="n">
        <v>0</v>
      </c>
      <c r="D12" s="0" t="n">
        <v>-0.198423404499578</v>
      </c>
      <c r="E12" s="0" t="n">
        <v>0</v>
      </c>
      <c r="F12" s="0" t="n">
        <v>0</v>
      </c>
      <c r="G12" s="0" t="n">
        <v>-0.00158527297472028</v>
      </c>
      <c r="H12" s="0" t="n">
        <v>0</v>
      </c>
      <c r="I12" s="0" t="n">
        <f aca="false">C12+F12</f>
        <v>0</v>
      </c>
      <c r="J12" s="0" t="n">
        <f aca="false">D12+E12+G12+H12</f>
        <v>-0.200008677474298</v>
      </c>
      <c r="K12" s="0" t="n">
        <v>0</v>
      </c>
    </row>
    <row r="13" customFormat="false" ht="13.8" hidden="false" customHeight="false" outlineLevel="0" collapsed="false">
      <c r="B13" s="0" t="s">
        <v>15</v>
      </c>
      <c r="C13" s="0" t="n">
        <v>0</v>
      </c>
      <c r="D13" s="0" t="n">
        <v>-0.0273376059980756</v>
      </c>
      <c r="E13" s="0" t="n">
        <v>0</v>
      </c>
      <c r="F13" s="0" t="n">
        <v>0</v>
      </c>
      <c r="G13" s="0" t="n">
        <v>-0.000218409557543055</v>
      </c>
      <c r="H13" s="0" t="n">
        <v>0</v>
      </c>
      <c r="I13" s="0" t="n">
        <f aca="false">C13+F13</f>
        <v>0</v>
      </c>
      <c r="J13" s="0" t="n">
        <f aca="false">D13+E13+G13+H13</f>
        <v>-0.0275560155556187</v>
      </c>
      <c r="K13" s="0" t="n">
        <v>0</v>
      </c>
    </row>
    <row r="14" customFormat="false" ht="13.8" hidden="false" customHeight="false" outlineLevel="0" collapsed="false">
      <c r="B14" s="0" t="s">
        <v>16</v>
      </c>
      <c r="C14" s="0" t="n">
        <v>0</v>
      </c>
      <c r="D14" s="0" t="n">
        <v>-2.72698530423554E-015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f aca="false">C14+F14</f>
        <v>0</v>
      </c>
      <c r="J14" s="0" t="n">
        <f aca="false">D14+E14+G14+H14</f>
        <v>-2.72698530423554E-015</v>
      </c>
      <c r="K14" s="0" t="n">
        <v>0</v>
      </c>
    </row>
    <row r="15" customFormat="false" ht="13.8" hidden="false" customHeight="false" outlineLevel="0" collapsed="false">
      <c r="B15" s="0" t="s">
        <v>17</v>
      </c>
      <c r="C15" s="0" t="n">
        <v>1.89626092605977E-013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f aca="false">C15+F15</f>
        <v>1.89626092605977E-013</v>
      </c>
      <c r="J15" s="0" t="n">
        <f aca="false">D15+E15+G15+H15</f>
        <v>0</v>
      </c>
      <c r="K15" s="0" t="n">
        <v>0</v>
      </c>
    </row>
    <row r="16" customFormat="false" ht="13.8" hidden="false" customHeight="false" outlineLevel="0" collapsed="false">
      <c r="B16" s="0" t="s">
        <v>18</v>
      </c>
      <c r="C16" s="0" t="n">
        <v>2.47836473565854E-013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f aca="false">C16+F16</f>
        <v>2.47836473565854E-013</v>
      </c>
      <c r="J16" s="0" t="n">
        <f aca="false">D16+E16+G16+H16</f>
        <v>0</v>
      </c>
      <c r="K16" s="0" t="n">
        <v>0</v>
      </c>
    </row>
    <row r="17" customFormat="false" ht="13.8" hidden="false" customHeight="false" outlineLevel="0" collapsed="false">
      <c r="B17" s="0" t="s">
        <v>19</v>
      </c>
      <c r="C17" s="0" t="n">
        <v>0</v>
      </c>
      <c r="D17" s="0" t="n">
        <v>-0.257293621189743</v>
      </c>
      <c r="E17" s="0" t="n">
        <v>0</v>
      </c>
      <c r="F17" s="0" t="n">
        <v>0</v>
      </c>
      <c r="G17" s="0" t="n">
        <v>-0.00205560742831767</v>
      </c>
      <c r="H17" s="0" t="n">
        <v>0</v>
      </c>
      <c r="I17" s="0" t="n">
        <f aca="false">C17+F17</f>
        <v>0</v>
      </c>
      <c r="J17" s="0" t="n">
        <f aca="false">D17+E17+G17+H17</f>
        <v>-0.259349228618061</v>
      </c>
      <c r="K17" s="0" t="n">
        <v>0</v>
      </c>
    </row>
    <row r="18" customFormat="false" ht="13.8" hidden="false" customHeight="false" outlineLevel="0" collapsed="false">
      <c r="B18" s="0" t="s">
        <v>20</v>
      </c>
      <c r="C18" s="0" t="n">
        <v>0</v>
      </c>
      <c r="D18" s="0" t="n">
        <v>-78.8287713035937</v>
      </c>
      <c r="E18" s="0" t="n">
        <v>0</v>
      </c>
      <c r="F18" s="0" t="n">
        <v>0</v>
      </c>
      <c r="G18" s="0" t="n">
        <v>-0.780104019179287</v>
      </c>
      <c r="H18" s="0" t="n">
        <v>0</v>
      </c>
      <c r="I18" s="0" t="n">
        <f aca="false">C18+F18</f>
        <v>0</v>
      </c>
      <c r="J18" s="0" t="n">
        <f aca="false">D18+E18+G18+H18</f>
        <v>-79.608875322773</v>
      </c>
      <c r="K18" s="0" t="n">
        <v>0</v>
      </c>
    </row>
    <row r="19" customFormat="false" ht="13.8" hidden="false" customHeight="false" outlineLevel="0" collapsed="false">
      <c r="B19" s="0" t="s">
        <v>21</v>
      </c>
      <c r="C19" s="0" t="n">
        <v>0</v>
      </c>
      <c r="D19" s="0" t="n">
        <v>-168.723363434397</v>
      </c>
      <c r="E19" s="0" t="n">
        <v>-2.847526</v>
      </c>
      <c r="F19" s="0" t="n">
        <v>0</v>
      </c>
      <c r="G19" s="0" t="n">
        <v>-37.4673483365772</v>
      </c>
      <c r="H19" s="0" t="n">
        <v>-225.633482370798</v>
      </c>
      <c r="I19" s="0" t="n">
        <f aca="false">C19+F19</f>
        <v>0</v>
      </c>
      <c r="J19" s="0" t="n">
        <f aca="false">D19+E19+G19+H19</f>
        <v>-434.671720141772</v>
      </c>
      <c r="K19" s="0" t="n">
        <v>-0.268881626136441</v>
      </c>
    </row>
    <row r="20" customFormat="false" ht="13.8" hidden="false" customHeight="false" outlineLevel="0" collapsed="false">
      <c r="B20" s="0" t="s">
        <v>22</v>
      </c>
      <c r="C20" s="0" t="n">
        <v>0</v>
      </c>
      <c r="D20" s="0" t="n">
        <v>-235.745176925154</v>
      </c>
      <c r="E20" s="0" t="n">
        <v>-2.8955875</v>
      </c>
      <c r="F20" s="0" t="n">
        <v>0</v>
      </c>
      <c r="G20" s="0" t="n">
        <v>-8.32892317342953</v>
      </c>
      <c r="H20" s="0" t="n">
        <v>-164.83844936318</v>
      </c>
      <c r="I20" s="0" t="n">
        <f aca="false">C20+F20</f>
        <v>0</v>
      </c>
      <c r="J20" s="0" t="n">
        <f aca="false">D20+E20+G20+H20</f>
        <v>-411.808136961764</v>
      </c>
      <c r="K20" s="0" t="n">
        <v>-195.863761918054</v>
      </c>
    </row>
    <row r="21" customFormat="false" ht="13.8" hidden="false" customHeight="false" outlineLevel="0" collapsed="false">
      <c r="B21" s="0" t="s">
        <v>23</v>
      </c>
      <c r="C21" s="0" t="n">
        <v>0</v>
      </c>
      <c r="D21" s="0" t="n">
        <v>-197.546340799196</v>
      </c>
      <c r="E21" s="0" t="n">
        <v>-19.294746335</v>
      </c>
      <c r="F21" s="0" t="n">
        <v>0</v>
      </c>
      <c r="G21" s="0" t="n">
        <v>-28.0200421516702</v>
      </c>
      <c r="H21" s="0" t="n">
        <v>-188.194246802403</v>
      </c>
      <c r="I21" s="0" t="n">
        <f aca="false">C21+F21</f>
        <v>0</v>
      </c>
      <c r="J21" s="0" t="n">
        <f aca="false">D21+E21+G21+H21</f>
        <v>-433.055376088269</v>
      </c>
      <c r="K21" s="0" t="n">
        <v>-149.229719130444</v>
      </c>
    </row>
    <row r="22" customFormat="false" ht="13.8" hidden="false" customHeight="false" outlineLevel="0" collapsed="false">
      <c r="B22" s="0" t="s">
        <v>24</v>
      </c>
      <c r="C22" s="0" t="n">
        <v>0</v>
      </c>
      <c r="D22" s="0" t="n">
        <v>-180.384175981003</v>
      </c>
      <c r="E22" s="0" t="n">
        <v>-2.91852825</v>
      </c>
      <c r="F22" s="0" t="n">
        <v>0</v>
      </c>
      <c r="G22" s="0" t="n">
        <v>-26.0384421559375</v>
      </c>
      <c r="H22" s="0" t="n">
        <v>-202.25962868506</v>
      </c>
      <c r="I22" s="0" t="n">
        <f aca="false">C22+F22</f>
        <v>0</v>
      </c>
      <c r="J22" s="0" t="n">
        <f aca="false">D22+E22+G22+H22</f>
        <v>-411.600775072001</v>
      </c>
      <c r="K22" s="0" t="n">
        <v>-53.392538964457</v>
      </c>
    </row>
    <row r="23" customFormat="false" ht="13.8" hidden="false" customHeight="false" outlineLevel="0" collapsed="false">
      <c r="B23" s="0" t="s">
        <v>25</v>
      </c>
      <c r="C23" s="0" t="n">
        <v>0</v>
      </c>
      <c r="D23" s="0" t="n">
        <v>-76.3455680370673</v>
      </c>
      <c r="E23" s="0" t="n">
        <v>0</v>
      </c>
      <c r="F23" s="0" t="n">
        <v>0</v>
      </c>
      <c r="G23" s="0" t="n">
        <v>-1.44630418373597</v>
      </c>
      <c r="H23" s="0" t="n">
        <v>-99.6120699441572</v>
      </c>
      <c r="I23" s="0" t="n">
        <f aca="false">C23+F23</f>
        <v>0</v>
      </c>
      <c r="J23" s="0" t="n">
        <f aca="false">D23+E23+G23+H23</f>
        <v>-177.403942164961</v>
      </c>
      <c r="K23" s="0" t="n">
        <v>0</v>
      </c>
    </row>
    <row r="24" customFormat="false" ht="13.8" hidden="false" customHeight="false" outlineLevel="0" collapsed="false">
      <c r="B24" s="0" t="s">
        <v>26</v>
      </c>
      <c r="C24" s="0" t="n">
        <v>0</v>
      </c>
      <c r="D24" s="0" t="n">
        <v>-2.57097366148278</v>
      </c>
      <c r="E24" s="0" t="n">
        <v>0</v>
      </c>
      <c r="F24" s="0" t="n">
        <v>0</v>
      </c>
      <c r="G24" s="0" t="n">
        <v>-0.0407834380693457</v>
      </c>
      <c r="H24" s="0" t="n">
        <v>-2.5337551504983</v>
      </c>
      <c r="I24" s="0" t="n">
        <f aca="false">C24+F24</f>
        <v>0</v>
      </c>
      <c r="J24" s="0" t="n">
        <f aca="false">D24+E24+G24+H24</f>
        <v>-5.14551225005043</v>
      </c>
      <c r="K24" s="0" t="n">
        <v>0</v>
      </c>
    </row>
    <row r="25" customFormat="false" ht="13.8" hidden="false" customHeight="false" outlineLevel="0" collapsed="false">
      <c r="B25" s="0" t="s">
        <v>27</v>
      </c>
      <c r="C25" s="0" t="n">
        <v>0.04044939118917</v>
      </c>
      <c r="D25" s="0" t="n">
        <v>0</v>
      </c>
      <c r="E25" s="0" t="n">
        <v>0</v>
      </c>
      <c r="F25" s="0" t="n">
        <v>0.0309452274086725</v>
      </c>
      <c r="G25" s="0" t="n">
        <v>0</v>
      </c>
      <c r="H25" s="0" t="n">
        <v>-0.0713946185977547</v>
      </c>
      <c r="I25" s="0" t="n">
        <f aca="false">C25+F25</f>
        <v>0.0713946185978425</v>
      </c>
      <c r="J25" s="0" t="n">
        <f aca="false">D25+E25+G25+H25</f>
        <v>-0.0713946185977547</v>
      </c>
      <c r="K25" s="0" t="n">
        <v>0</v>
      </c>
    </row>
    <row r="26" customFormat="false" ht="13.8" hidden="false" customHeight="false" outlineLevel="0" collapsed="false">
      <c r="B26" s="0" t="s">
        <v>28</v>
      </c>
      <c r="C26" s="0" t="n">
        <v>0</v>
      </c>
      <c r="D26" s="0" t="n">
        <v>-2.20552742735691E-013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f aca="false">C26+F26</f>
        <v>0</v>
      </c>
      <c r="J26" s="0" t="n">
        <f aca="false">D26+E26+G26+H26</f>
        <v>-2.20552742735691E-013</v>
      </c>
      <c r="K26" s="0" t="n">
        <v>0</v>
      </c>
    </row>
    <row r="28" customFormat="false" ht="13.8" hidden="false" customHeight="false" outlineLevel="0" collapsed="false">
      <c r="F28" s="0" t="s">
        <v>36</v>
      </c>
      <c r="G28" s="0" t="s">
        <v>44</v>
      </c>
      <c r="H28" s="0" t="s">
        <v>45</v>
      </c>
      <c r="I28" s="0" t="s">
        <v>41</v>
      </c>
    </row>
    <row r="29" customFormat="false" ht="13.8" hidden="false" customHeight="false" outlineLevel="0" collapsed="false">
      <c r="F29" s="0" t="s">
        <v>5</v>
      </c>
      <c r="G29" s="0" t="n">
        <v>0</v>
      </c>
      <c r="H29" s="0" t="n">
        <v>-2.42835265784613E-013</v>
      </c>
      <c r="I29" s="0" t="n">
        <v>0</v>
      </c>
    </row>
    <row r="30" customFormat="false" ht="13.8" hidden="false" customHeight="false" outlineLevel="0" collapsed="false">
      <c r="F30" s="0" t="s">
        <v>6</v>
      </c>
      <c r="G30" s="0" t="n">
        <v>0</v>
      </c>
      <c r="H30" s="0" t="n">
        <v>-6.821279652236E-014</v>
      </c>
      <c r="I30" s="0" t="n">
        <v>0</v>
      </c>
    </row>
    <row r="31" customFormat="false" ht="13.8" hidden="false" customHeight="false" outlineLevel="0" collapsed="false">
      <c r="F31" s="0" t="s">
        <v>7</v>
      </c>
      <c r="G31" s="0" t="n">
        <v>0</v>
      </c>
      <c r="H31" s="0" t="n">
        <v>-0.0206876993663146</v>
      </c>
      <c r="I31" s="0" t="n">
        <v>0</v>
      </c>
    </row>
    <row r="32" customFormat="false" ht="13.8" hidden="false" customHeight="false" outlineLevel="0" collapsed="false">
      <c r="F32" s="0" t="s">
        <v>8</v>
      </c>
      <c r="G32" s="0" t="n">
        <v>0</v>
      </c>
      <c r="H32" s="0" t="n">
        <v>-77.909875813915</v>
      </c>
      <c r="I32" s="0" t="n">
        <v>0</v>
      </c>
    </row>
    <row r="33" customFormat="false" ht="13.8" hidden="false" customHeight="false" outlineLevel="0" collapsed="false">
      <c r="F33" s="0" t="s">
        <v>9</v>
      </c>
      <c r="G33" s="0" t="n">
        <v>0</v>
      </c>
      <c r="H33" s="0" t="n">
        <v>-429.766266637883</v>
      </c>
      <c r="I33" s="0" t="n">
        <v>0</v>
      </c>
    </row>
    <row r="34" customFormat="false" ht="13.8" hidden="false" customHeight="false" outlineLevel="0" collapsed="false">
      <c r="F34" s="0" t="s">
        <v>10</v>
      </c>
      <c r="G34" s="0" t="n">
        <v>0</v>
      </c>
      <c r="H34" s="0" t="n">
        <v>-599.485213549457</v>
      </c>
      <c r="I34" s="0" t="n">
        <v>-10.4996829079378</v>
      </c>
    </row>
    <row r="35" customFormat="false" ht="13.8" hidden="false" customHeight="false" outlineLevel="0" collapsed="false">
      <c r="F35" s="0" t="s">
        <v>11</v>
      </c>
      <c r="G35" s="0" t="n">
        <v>0</v>
      </c>
      <c r="H35" s="0" t="n">
        <v>-618.866870552574</v>
      </c>
      <c r="I35" s="0" t="n">
        <v>0</v>
      </c>
    </row>
    <row r="36" customFormat="false" ht="13.8" hidden="false" customHeight="false" outlineLevel="0" collapsed="false">
      <c r="F36" s="0" t="s">
        <v>12</v>
      </c>
      <c r="G36" s="0" t="n">
        <v>0</v>
      </c>
      <c r="H36" s="0" t="n">
        <v>-483.312900914353</v>
      </c>
      <c r="I36" s="0" t="n">
        <v>0</v>
      </c>
    </row>
    <row r="37" customFormat="false" ht="13.8" hidden="false" customHeight="false" outlineLevel="0" collapsed="false">
      <c r="F37" s="0" t="s">
        <v>13</v>
      </c>
      <c r="G37" s="0" t="n">
        <v>0</v>
      </c>
      <c r="H37" s="0" t="n">
        <v>-152.647665308579</v>
      </c>
      <c r="I37" s="0" t="n">
        <v>0</v>
      </c>
    </row>
    <row r="38" customFormat="false" ht="13.8" hidden="false" customHeight="false" outlineLevel="0" collapsed="false">
      <c r="F38" s="0" t="s">
        <v>14</v>
      </c>
      <c r="G38" s="0" t="n">
        <v>0</v>
      </c>
      <c r="H38" s="0" t="n">
        <v>-0.200008677474298</v>
      </c>
      <c r="I38" s="0" t="n">
        <v>0</v>
      </c>
    </row>
    <row r="39" customFormat="false" ht="13.8" hidden="false" customHeight="false" outlineLevel="0" collapsed="false">
      <c r="F39" s="0" t="s">
        <v>15</v>
      </c>
      <c r="G39" s="0" t="n">
        <v>0</v>
      </c>
      <c r="H39" s="0" t="n">
        <v>-0.0275560155556187</v>
      </c>
      <c r="I39" s="0" t="n">
        <v>0</v>
      </c>
    </row>
    <row r="40" customFormat="false" ht="13.8" hidden="false" customHeight="false" outlineLevel="0" collapsed="false">
      <c r="F40" s="0" t="s">
        <v>16</v>
      </c>
      <c r="G40" s="0" t="n">
        <v>0</v>
      </c>
      <c r="H40" s="0" t="n">
        <v>-2.72698530423554E-015</v>
      </c>
      <c r="I40" s="0" t="n">
        <v>0</v>
      </c>
    </row>
    <row r="41" customFormat="false" ht="13.8" hidden="false" customHeight="false" outlineLevel="0" collapsed="false">
      <c r="F41" s="0" t="s">
        <v>17</v>
      </c>
      <c r="G41" s="0" t="n">
        <v>1.89626092605977E-013</v>
      </c>
      <c r="H41" s="0" t="n">
        <v>0</v>
      </c>
      <c r="I41" s="0" t="n">
        <v>0</v>
      </c>
    </row>
    <row r="42" customFormat="false" ht="13.8" hidden="false" customHeight="false" outlineLevel="0" collapsed="false">
      <c r="F42" s="0" t="s">
        <v>18</v>
      </c>
      <c r="G42" s="0" t="n">
        <v>2.47836473565854E-013</v>
      </c>
      <c r="H42" s="0" t="n">
        <v>0</v>
      </c>
      <c r="I42" s="0" t="n">
        <v>0</v>
      </c>
    </row>
    <row r="43" customFormat="false" ht="13.8" hidden="false" customHeight="false" outlineLevel="0" collapsed="false">
      <c r="F43" s="0" t="s">
        <v>19</v>
      </c>
      <c r="G43" s="0" t="n">
        <v>0</v>
      </c>
      <c r="H43" s="0" t="n">
        <v>-0.259349228618061</v>
      </c>
      <c r="I43" s="0" t="n">
        <v>0</v>
      </c>
    </row>
    <row r="44" customFormat="false" ht="13.8" hidden="false" customHeight="false" outlineLevel="0" collapsed="false">
      <c r="F44" s="0" t="s">
        <v>20</v>
      </c>
      <c r="G44" s="0" t="n">
        <v>0</v>
      </c>
      <c r="H44" s="0" t="n">
        <v>-79.608875322773</v>
      </c>
      <c r="I44" s="0" t="n">
        <v>0</v>
      </c>
    </row>
    <row r="45" customFormat="false" ht="13.8" hidden="false" customHeight="false" outlineLevel="0" collapsed="false">
      <c r="F45" s="0" t="s">
        <v>21</v>
      </c>
      <c r="G45" s="0" t="n">
        <v>0</v>
      </c>
      <c r="H45" s="0" t="n">
        <v>-434.671720141772</v>
      </c>
      <c r="I45" s="0" t="n">
        <v>-0.268881626136441</v>
      </c>
    </row>
    <row r="46" customFormat="false" ht="13.8" hidden="false" customHeight="false" outlineLevel="0" collapsed="false">
      <c r="F46" s="0" t="s">
        <v>22</v>
      </c>
      <c r="G46" s="0" t="n">
        <v>0</v>
      </c>
      <c r="H46" s="0" t="n">
        <v>-411.808136961764</v>
      </c>
      <c r="I46" s="0" t="n">
        <v>-195.863761918054</v>
      </c>
    </row>
    <row r="47" customFormat="false" ht="13.8" hidden="false" customHeight="false" outlineLevel="0" collapsed="false">
      <c r="F47" s="0" t="s">
        <v>23</v>
      </c>
      <c r="G47" s="0" t="n">
        <v>0</v>
      </c>
      <c r="H47" s="0" t="n">
        <v>-433.055376088269</v>
      </c>
      <c r="I47" s="0" t="n">
        <v>-149.229719130444</v>
      </c>
    </row>
    <row r="48" customFormat="false" ht="13.8" hidden="false" customHeight="false" outlineLevel="0" collapsed="false">
      <c r="F48" s="0" t="s">
        <v>24</v>
      </c>
      <c r="G48" s="0" t="n">
        <v>0</v>
      </c>
      <c r="H48" s="0" t="n">
        <v>-411.600775072001</v>
      </c>
      <c r="I48" s="0" t="n">
        <v>-53.392538964457</v>
      </c>
    </row>
    <row r="49" customFormat="false" ht="13.8" hidden="false" customHeight="false" outlineLevel="0" collapsed="false">
      <c r="F49" s="0" t="s">
        <v>25</v>
      </c>
      <c r="G49" s="0" t="n">
        <v>0</v>
      </c>
      <c r="H49" s="0" t="n">
        <v>-177.403942164961</v>
      </c>
      <c r="I49" s="0" t="n">
        <v>0</v>
      </c>
    </row>
    <row r="50" customFormat="false" ht="13.8" hidden="false" customHeight="false" outlineLevel="0" collapsed="false">
      <c r="F50" s="0" t="s">
        <v>26</v>
      </c>
      <c r="G50" s="0" t="n">
        <v>0</v>
      </c>
      <c r="H50" s="0" t="n">
        <v>-5.14551225005043</v>
      </c>
      <c r="I50" s="0" t="n">
        <v>0</v>
      </c>
    </row>
    <row r="51" customFormat="false" ht="13.8" hidden="false" customHeight="false" outlineLevel="0" collapsed="false">
      <c r="F51" s="0" t="s">
        <v>27</v>
      </c>
      <c r="G51" s="0" t="n">
        <v>0.0713946185978425</v>
      </c>
      <c r="H51" s="0" t="n">
        <v>-0.0713946185977547</v>
      </c>
      <c r="I51" s="0" t="n">
        <v>0</v>
      </c>
    </row>
    <row r="52" customFormat="false" ht="13.8" hidden="false" customHeight="false" outlineLevel="0" collapsed="false">
      <c r="F52" s="0" t="s">
        <v>28</v>
      </c>
      <c r="G52" s="0" t="n">
        <v>0</v>
      </c>
      <c r="H52" s="0" t="n">
        <v>-2.20552742735691E-013</v>
      </c>
      <c r="I5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2025-11-06T12:47:58Z</dcterms:created>
  <dc:creator>Emilio</dc:creator>
  <dc:description/>
  <dc:language>es-AR</dc:language>
  <cp:lastModifiedBy/>
  <dcterms:modified xsi:type="dcterms:W3CDTF">2025-12-05T14:35:53Z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