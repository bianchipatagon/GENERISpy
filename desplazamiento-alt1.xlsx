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io\Documents\GENERIS\informes\final\"/>
    </mc:Choice>
  </mc:AlternateContent>
  <xr:revisionPtr revIDLastSave="0" documentId="13_ncr:1_{5F33423C-6166-4C31-A6A2-3995C03B20E7}" xr6:coauthVersionLast="47" xr6:coauthVersionMax="47" xr10:uidLastSave="{00000000-0000-0000-0000-000000000000}"/>
  <bookViews>
    <workbookView xWindow="-120" yWindow="-120" windowWidth="20730" windowHeight="11160" xr2:uid="{1D182DB3-FA2C-4E0A-913A-96D72D92AFC2}"/>
  </bookViews>
  <sheets>
    <sheet name="2030" sheetId="1" r:id="rId1"/>
    <sheet name="2040" sheetId="2" r:id="rId2"/>
    <sheet name="2050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9" i="3" l="1"/>
  <c r="T22" i="3"/>
  <c r="C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U22" i="3"/>
  <c r="V22" i="3"/>
  <c r="W22" i="3"/>
  <c r="X22" i="3"/>
  <c r="Y22" i="3"/>
  <c r="Z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B23" i="3"/>
  <c r="B22" i="3"/>
  <c r="B21" i="3"/>
  <c r="B20" i="3"/>
  <c r="B19" i="3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B21" i="2"/>
  <c r="C17" i="2"/>
  <c r="D17" i="2"/>
  <c r="E17" i="2"/>
  <c r="C18" i="2"/>
  <c r="D18" i="2"/>
  <c r="E18" i="2"/>
  <c r="C19" i="2"/>
  <c r="D19" i="2"/>
  <c r="E19" i="2"/>
  <c r="C20" i="2"/>
  <c r="D20" i="2"/>
  <c r="E20" i="2"/>
  <c r="C21" i="2"/>
  <c r="D21" i="2"/>
  <c r="E21" i="2"/>
  <c r="B20" i="2"/>
  <c r="B19" i="2"/>
  <c r="B18" i="2"/>
  <c r="B17" i="2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B21" i="1"/>
  <c r="B20" i="1"/>
  <c r="B19" i="1"/>
  <c r="B18" i="1"/>
  <c r="B17" i="1"/>
</calcChain>
</file>

<file path=xl/sharedStrings.xml><?xml version="1.0" encoding="utf-8"?>
<sst xmlns="http://schemas.openxmlformats.org/spreadsheetml/2006/main" count="137" uniqueCount="48">
  <si>
    <t>Power Generation</t>
  </si>
  <si>
    <t>Scenario: Alternativo Generacion Distribuida Differences vs. Alternativo Base ESO Transmision, 2030, All Regions</t>
  </si>
  <si>
    <t>Branch: Transformation\Centrales Eléctricas\Processes</t>
  </si>
  <si>
    <t>Units: Megawatts</t>
  </si>
  <si>
    <t>Branch</t>
  </si>
  <si>
    <t>Dry: Hr 1-2</t>
  </si>
  <si>
    <t>Dry: Hr 3-4</t>
  </si>
  <si>
    <t>Dry: Hr 5-6</t>
  </si>
  <si>
    <t>Dry: Hr 7-8</t>
  </si>
  <si>
    <t>Dry: Hr 9-10</t>
  </si>
  <si>
    <t>Dry: Hr 11-12</t>
  </si>
  <si>
    <t>Dry: Hr 13-14</t>
  </si>
  <si>
    <t>Dry: Hr 15-16</t>
  </si>
  <si>
    <t>Dry: Hr 17-18</t>
  </si>
  <si>
    <t>Dry: Hr 19-20</t>
  </si>
  <si>
    <t>Dry: Hr 21-22</t>
  </si>
  <si>
    <t>Dry: Hr 23-24</t>
  </si>
  <si>
    <t>Wet: Hr 1-2</t>
  </si>
  <si>
    <t>Wet: Hr 3-4</t>
  </si>
  <si>
    <t>Wet: Hr 5-6</t>
  </si>
  <si>
    <t>Wet: Hr 7-8</t>
  </si>
  <si>
    <t>Wet: Hr 9-10</t>
  </si>
  <si>
    <t>Wet: Hr 11-12</t>
  </si>
  <si>
    <t>Wet: Hr 13-14</t>
  </si>
  <si>
    <t>Wet: Hr 15-16</t>
  </si>
  <si>
    <t>Wet: Hr 17-18</t>
  </si>
  <si>
    <t>Wet: Hr 19-20</t>
  </si>
  <si>
    <t>Wet: Hr 21-22</t>
  </si>
  <si>
    <t>Wet: Hr 23-24</t>
  </si>
  <si>
    <t>Total</t>
  </si>
  <si>
    <t>Motor Dual_ex</t>
  </si>
  <si>
    <t>CC_ex</t>
  </si>
  <si>
    <t>Solar_ex</t>
  </si>
  <si>
    <t>Solar_nv</t>
  </si>
  <si>
    <t>Eolica_ex</t>
  </si>
  <si>
    <t>Eolica_nuevas_SC</t>
  </si>
  <si>
    <t>Hidroelectrica_ex</t>
  </si>
  <si>
    <t>Hidro Rositas</t>
  </si>
  <si>
    <t>Hidro Otras</t>
  </si>
  <si>
    <t>Scenario: Alternativo Generacion Distribuida Differences vs. Alternativo Base ESO Transmision, 2040, All Regions</t>
  </si>
  <si>
    <t>Scenario: Alternativo Generacion Distribuida Differences vs. Alternativo Base ESO Transmision, 2050, All Regions</t>
  </si>
  <si>
    <t>TG_ex</t>
  </si>
  <si>
    <t>TV_ex</t>
  </si>
  <si>
    <t>Motor</t>
  </si>
  <si>
    <t>CC</t>
  </si>
  <si>
    <t>Solar</t>
  </si>
  <si>
    <t>Eolica</t>
  </si>
  <si>
    <t>Hidro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</si>
</sst>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 * #,##0.000_ ;_ * \-#,##0.000_ ;_ * &quot;&quot;\-&quot;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E2EDFA"/>
        <bgColor indexed="64"/>
      </patternFill>
    </fill>
    <fill>
      <patternFill patternType="solid">
        <fgColor rgb="FF575757"/>
        <bgColor indexed="64"/>
      </patternFill>
    </fill>
    <fill>
      <patternFill patternType="solid">
        <fgColor rgb="FFABABAB"/>
        <bgColor indexed="64"/>
      </patternFill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164" fontId="0" fillId="4" borderId="0" xfId="1" applyNumberFormat="1" applyFont="1" applyFill="1"/>
    <xf numFmtId="164" fontId="0" fillId="3" borderId="0" xfId="1" applyNumberFormat="1" applyFont="1" applyFill="1"/>
    <xf numFmtId="164" fontId="0" fillId="5" borderId="0" xfId="1" applyNumberFormat="1" applyFont="1" applyFill="1"/>
    <xf numFmtId="164" fontId="0" fillId="6" borderId="0" xfId="1" applyNumberFormat="1" applyFont="1" applyFill="1"/>
    <xf numFmtId="164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DEF2E-30DD-4758-9AEA-90A884D78A46}">
  <dimension ref="A1:Z21"/>
  <sheetViews>
    <sheetView showGridLines="0"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F10" sqref="F10"/>
    </sheetView>
  </sheetViews>
  <sheetFormatPr baseColWidth="10" defaultRowHeight="15" x14ac:dyDescent="0.25"/>
  <cols>
    <col min="1" max="1" width="23.42578125" customWidth="1"/>
    <col min="2" max="5" width="10.140625" bestFit="1" customWidth="1"/>
    <col min="6" max="6" width="11.140625" bestFit="1" customWidth="1"/>
    <col min="7" max="13" width="12.140625" bestFit="1" customWidth="1"/>
    <col min="14" max="17" width="10.85546875" bestFit="1" customWidth="1"/>
    <col min="18" max="18" width="11.85546875" bestFit="1" customWidth="1"/>
    <col min="19" max="25" width="12.85546875" bestFit="1" customWidth="1"/>
    <col min="26" max="26" width="10.7109375" bestFit="1" customWidth="1"/>
  </cols>
  <sheetData>
    <row r="1" spans="1:26" x14ac:dyDescent="0.25">
      <c r="A1" s="2" t="s">
        <v>0</v>
      </c>
    </row>
    <row r="2" spans="1:26" x14ac:dyDescent="0.25">
      <c r="A2" s="2" t="s">
        <v>1</v>
      </c>
    </row>
    <row r="3" spans="1:26" x14ac:dyDescent="0.25">
      <c r="A3" s="2" t="s">
        <v>2</v>
      </c>
    </row>
    <row r="4" spans="1:26" x14ac:dyDescent="0.25">
      <c r="A4" s="2" t="s">
        <v>3</v>
      </c>
    </row>
    <row r="5" spans="1:26" x14ac:dyDescent="0.25">
      <c r="A5" s="2"/>
    </row>
    <row r="6" spans="1:26" x14ac:dyDescent="0.25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  <c r="T6" s="3" t="s">
        <v>23</v>
      </c>
      <c r="U6" s="3" t="s">
        <v>24</v>
      </c>
      <c r="V6" s="3" t="s">
        <v>25</v>
      </c>
      <c r="W6" s="3" t="s">
        <v>26</v>
      </c>
      <c r="X6" s="3" t="s">
        <v>27</v>
      </c>
      <c r="Y6" s="3" t="s">
        <v>28</v>
      </c>
      <c r="Z6" s="3" t="s">
        <v>29</v>
      </c>
    </row>
    <row r="7" spans="1:26" x14ac:dyDescent="0.25">
      <c r="A7" t="s">
        <v>30</v>
      </c>
      <c r="B7" s="4">
        <v>0</v>
      </c>
      <c r="C7" s="4">
        <v>0</v>
      </c>
      <c r="D7" s="4">
        <v>-4.7693699021692735E-5</v>
      </c>
      <c r="E7" s="4">
        <v>-11.530069523476403</v>
      </c>
      <c r="F7" s="4">
        <v>-0.99078890365209016</v>
      </c>
      <c r="G7" s="4">
        <v>-1.4271543903869024</v>
      </c>
      <c r="H7" s="4">
        <v>-1.4476310123537124</v>
      </c>
      <c r="I7" s="4">
        <v>-1.1142360310501709</v>
      </c>
      <c r="J7" s="4">
        <v>-0.3519159708353109</v>
      </c>
      <c r="K7" s="4">
        <v>-4.611026822203712E-4</v>
      </c>
      <c r="L7" s="4">
        <v>-6.3528007111017361E-5</v>
      </c>
      <c r="M7" s="4">
        <v>9.0949470177292826E-15</v>
      </c>
      <c r="N7" s="4">
        <v>0</v>
      </c>
      <c r="O7" s="4">
        <v>0</v>
      </c>
      <c r="P7" s="4">
        <v>-5.9790718312069662E-4</v>
      </c>
      <c r="Q7" s="4">
        <v>-0.22690606689962442</v>
      </c>
      <c r="R7" s="4">
        <v>-1.0027178851208156</v>
      </c>
      <c r="S7" s="4">
        <v>-1.4009349295407174</v>
      </c>
      <c r="T7" s="4">
        <v>-1.3632948978414461</v>
      </c>
      <c r="U7" s="4">
        <v>-1.0720018102489284</v>
      </c>
      <c r="V7" s="4">
        <v>-0.42068132685338605</v>
      </c>
      <c r="W7" s="4">
        <v>-1.1862532815426676E-2</v>
      </c>
      <c r="X7" s="4">
        <v>0</v>
      </c>
      <c r="Y7" s="4">
        <v>-6.5028871176764376E-14</v>
      </c>
      <c r="Z7" s="1">
        <v>-22.361365512646465</v>
      </c>
    </row>
    <row r="8" spans="1:26" x14ac:dyDescent="0.25">
      <c r="A8" t="s">
        <v>31</v>
      </c>
      <c r="B8" s="4">
        <v>1.1641532182693482E-13</v>
      </c>
      <c r="C8" s="4">
        <v>0</v>
      </c>
      <c r="D8" s="4">
        <v>-5.9696634492720484E-3</v>
      </c>
      <c r="E8" s="4">
        <v>-11.131297498029834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-6.9521665011852748E-3</v>
      </c>
      <c r="L8" s="4">
        <v>-9.5782848360977373E-4</v>
      </c>
      <c r="M8" s="4">
        <v>0</v>
      </c>
      <c r="N8" s="4">
        <v>0</v>
      </c>
      <c r="O8" s="4">
        <v>-2.9103830456733704E-14</v>
      </c>
      <c r="P8" s="4">
        <v>-9.0148039679043002E-3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-0.17885452945333963</v>
      </c>
      <c r="X8" s="4">
        <v>0</v>
      </c>
      <c r="Y8" s="4">
        <v>0</v>
      </c>
      <c r="Z8" s="1">
        <v>-11.333046489885058</v>
      </c>
    </row>
    <row r="9" spans="1:26" x14ac:dyDescent="0.25">
      <c r="A9" t="s">
        <v>32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21.0276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6">
        <v>-33.088000000000001</v>
      </c>
      <c r="S9" s="4">
        <v>0</v>
      </c>
      <c r="T9" s="6">
        <v>-39.337182395483616</v>
      </c>
      <c r="U9" s="4">
        <v>35.379200000000004</v>
      </c>
      <c r="V9" s="4">
        <v>0</v>
      </c>
      <c r="W9" s="4">
        <v>-0.61</v>
      </c>
      <c r="X9" s="4">
        <v>0</v>
      </c>
      <c r="Y9" s="4">
        <v>0</v>
      </c>
      <c r="Z9" s="1">
        <v>-16.628382395483612</v>
      </c>
    </row>
    <row r="10" spans="1:26" x14ac:dyDescent="0.25">
      <c r="A10" t="s">
        <v>33</v>
      </c>
      <c r="B10" s="4">
        <v>0</v>
      </c>
      <c r="C10" s="4">
        <v>0</v>
      </c>
      <c r="D10" s="4">
        <v>0</v>
      </c>
      <c r="E10" s="4">
        <v>0</v>
      </c>
      <c r="F10" s="4">
        <v>10.387999999999998</v>
      </c>
      <c r="G10" s="6">
        <v>-120.87035219249007</v>
      </c>
      <c r="H10" s="1">
        <v>-306.56123629520084</v>
      </c>
      <c r="I10" s="4">
        <v>0</v>
      </c>
      <c r="J10" s="4">
        <v>71.939831311376736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4.9139999999999979</v>
      </c>
      <c r="R10" s="4">
        <v>0</v>
      </c>
      <c r="S10" s="6">
        <v>-88.61141745873384</v>
      </c>
      <c r="T10" s="6">
        <v>-83.537795329733711</v>
      </c>
      <c r="U10" s="4">
        <v>0</v>
      </c>
      <c r="V10" s="6">
        <v>-77.680064100181013</v>
      </c>
      <c r="W10" s="4">
        <v>1.0858000000000003</v>
      </c>
      <c r="X10" s="4">
        <v>0</v>
      </c>
      <c r="Y10" s="4">
        <v>0</v>
      </c>
      <c r="Z10" s="1">
        <v>-588.93323406496279</v>
      </c>
    </row>
    <row r="11" spans="1:26" x14ac:dyDescent="0.25">
      <c r="A11" t="s">
        <v>34</v>
      </c>
      <c r="B11" s="4">
        <v>0</v>
      </c>
      <c r="C11" s="4">
        <v>0</v>
      </c>
      <c r="D11" s="4">
        <v>0</v>
      </c>
      <c r="E11" s="4">
        <v>0</v>
      </c>
      <c r="F11" s="4">
        <v>8.4192029999999995</v>
      </c>
      <c r="G11" s="6">
        <v>-37.290900600000008</v>
      </c>
      <c r="H11" s="4">
        <v>0</v>
      </c>
      <c r="I11" s="4">
        <v>-13.000552199999998</v>
      </c>
      <c r="J11" s="4">
        <v>0</v>
      </c>
      <c r="K11" s="4">
        <v>0</v>
      </c>
      <c r="L11" s="4">
        <v>0</v>
      </c>
      <c r="M11" s="4">
        <v>0</v>
      </c>
      <c r="N11" s="4">
        <v>-7.9850106000000034</v>
      </c>
      <c r="O11" s="4">
        <v>-7.6671621000000023</v>
      </c>
      <c r="P11" s="4">
        <v>0</v>
      </c>
      <c r="Q11" s="4">
        <v>26.767637999999998</v>
      </c>
      <c r="R11" s="4">
        <v>0</v>
      </c>
      <c r="S11" s="4">
        <v>9.5603593500000006</v>
      </c>
      <c r="T11" s="4">
        <v>0</v>
      </c>
      <c r="U11" s="6">
        <v>-38.805207300000006</v>
      </c>
      <c r="V11" s="4">
        <v>0</v>
      </c>
      <c r="W11" s="4">
        <v>0</v>
      </c>
      <c r="X11" s="4">
        <v>43.238282400000003</v>
      </c>
      <c r="Y11" s="4">
        <v>0</v>
      </c>
      <c r="Z11" s="1">
        <v>-16.763350050000014</v>
      </c>
    </row>
    <row r="12" spans="1:26" x14ac:dyDescent="0.25">
      <c r="A12" t="s">
        <v>35</v>
      </c>
      <c r="B12" s="4">
        <v>0</v>
      </c>
      <c r="C12" s="4">
        <v>0</v>
      </c>
      <c r="D12" s="4">
        <v>0</v>
      </c>
      <c r="E12" s="4">
        <v>0</v>
      </c>
      <c r="F12" s="4">
        <v>103.57483333333333</v>
      </c>
      <c r="G12" s="4">
        <v>0</v>
      </c>
      <c r="H12" s="4">
        <v>0</v>
      </c>
      <c r="I12" s="4">
        <v>50.634614134648352</v>
      </c>
      <c r="J12" s="4">
        <v>0</v>
      </c>
      <c r="K12" s="4">
        <v>0</v>
      </c>
      <c r="L12" s="4">
        <v>0</v>
      </c>
      <c r="M12" s="4">
        <v>0</v>
      </c>
      <c r="N12" s="4">
        <v>-8.6824295394334907</v>
      </c>
      <c r="O12" s="4">
        <v>11.04712771818509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1">
        <v>-194.69404166666666</v>
      </c>
      <c r="V12" s="4">
        <v>0</v>
      </c>
      <c r="W12" s="4">
        <v>0</v>
      </c>
      <c r="X12" s="6">
        <v>-97.068327927585983</v>
      </c>
      <c r="Y12" s="4">
        <v>-11.080667512060259</v>
      </c>
      <c r="Z12" s="1">
        <v>-146.26889145957961</v>
      </c>
    </row>
    <row r="13" spans="1:26" x14ac:dyDescent="0.25">
      <c r="A13" t="s">
        <v>36</v>
      </c>
      <c r="B13" s="4">
        <v>0</v>
      </c>
      <c r="C13" s="4">
        <v>0</v>
      </c>
      <c r="D13" s="4">
        <v>0</v>
      </c>
      <c r="E13" s="4">
        <v>0</v>
      </c>
      <c r="F13" s="1">
        <v>-246.39582483402782</v>
      </c>
      <c r="G13" s="4">
        <v>-20.47096853628906</v>
      </c>
      <c r="H13" s="4">
        <v>125.366023539651</v>
      </c>
      <c r="I13" s="7">
        <v>140.65546886852644</v>
      </c>
      <c r="J13" s="4">
        <v>4.0697719402347579</v>
      </c>
      <c r="K13" s="6">
        <v>-135.71243304233835</v>
      </c>
      <c r="L13" s="6">
        <v>-79.019799075049292</v>
      </c>
      <c r="M13" s="4">
        <v>0</v>
      </c>
      <c r="N13" s="4">
        <v>0</v>
      </c>
      <c r="O13" s="4">
        <v>-3.3799656181850004</v>
      </c>
      <c r="P13" s="4">
        <v>-6.5823271708213726E-2</v>
      </c>
      <c r="Q13" s="6">
        <v>-75.945952382785421</v>
      </c>
      <c r="R13" s="6">
        <v>-35.706380263312752</v>
      </c>
      <c r="S13" s="6">
        <v>-96.29935953815432</v>
      </c>
      <c r="T13" s="4">
        <v>0</v>
      </c>
      <c r="U13" s="7">
        <v>285.61126304554034</v>
      </c>
      <c r="V13" s="7">
        <v>209.52543936333325</v>
      </c>
      <c r="W13" s="4">
        <v>114.23429082115517</v>
      </c>
      <c r="X13" s="4">
        <v>53.830045527586165</v>
      </c>
      <c r="Y13" s="4">
        <v>11.080667512060463</v>
      </c>
      <c r="Z13" s="1">
        <v>251.37646405623735</v>
      </c>
    </row>
    <row r="14" spans="1:26" x14ac:dyDescent="0.25">
      <c r="A14" t="s">
        <v>37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1">
        <v>-338.78239023953768</v>
      </c>
      <c r="J14" s="4">
        <v>0</v>
      </c>
      <c r="K14" s="7">
        <v>135.66167050260947</v>
      </c>
      <c r="L14" s="4">
        <v>79.012805311817914</v>
      </c>
      <c r="M14" s="4">
        <v>0</v>
      </c>
      <c r="N14" s="4">
        <v>16.667440139433602</v>
      </c>
      <c r="O14" s="4">
        <v>0</v>
      </c>
      <c r="P14" s="4">
        <v>0</v>
      </c>
      <c r="Q14" s="4">
        <v>0</v>
      </c>
      <c r="R14" s="6">
        <v>-90.468424258817578</v>
      </c>
      <c r="S14" s="4">
        <v>0</v>
      </c>
      <c r="T14" s="4">
        <v>0</v>
      </c>
      <c r="U14" s="6">
        <v>-172.13731531634713</v>
      </c>
      <c r="V14" s="4">
        <v>0</v>
      </c>
      <c r="W14" s="4">
        <v>0</v>
      </c>
      <c r="X14" s="4">
        <v>0</v>
      </c>
      <c r="Y14" s="4">
        <v>0</v>
      </c>
      <c r="Z14" s="1">
        <v>-370.04621386084136</v>
      </c>
    </row>
    <row r="15" spans="1:26" x14ac:dyDescent="0.25">
      <c r="A15" t="s">
        <v>38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6">
        <v>-120.05776791748428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15.863228252035304</v>
      </c>
      <c r="R15" s="4">
        <v>33.755904643787424</v>
      </c>
      <c r="S15" s="4">
        <v>0</v>
      </c>
      <c r="T15" s="6">
        <v>-47.764160946798661</v>
      </c>
      <c r="U15" s="6">
        <v>-49.53283968378468</v>
      </c>
      <c r="V15" s="1">
        <v>-184.50067338193975</v>
      </c>
      <c r="W15" s="6">
        <v>-116.01603050995769</v>
      </c>
      <c r="X15" s="4">
        <v>0</v>
      </c>
      <c r="Y15" s="4">
        <v>0</v>
      </c>
      <c r="Z15" s="1">
        <v>-468.25233954414233</v>
      </c>
    </row>
    <row r="16" spans="1:26" x14ac:dyDescent="0.25">
      <c r="A16" s="3" t="s">
        <v>29</v>
      </c>
      <c r="B16" s="5">
        <v>1.1641532182693482E-13</v>
      </c>
      <c r="C16" s="5">
        <v>0</v>
      </c>
      <c r="D16" s="5">
        <v>-6.0173571482937411E-3</v>
      </c>
      <c r="E16" s="5">
        <v>-22.661367021506237</v>
      </c>
      <c r="F16" s="5">
        <v>-125.00457740434658</v>
      </c>
      <c r="G16" s="5">
        <v>-180.05937571916604</v>
      </c>
      <c r="H16" s="5">
        <v>-182.64284376790357</v>
      </c>
      <c r="I16" s="5">
        <v>-140.57949546741304</v>
      </c>
      <c r="J16" s="5">
        <v>-44.400080636708104</v>
      </c>
      <c r="K16" s="5">
        <v>-5.8175808912284764E-2</v>
      </c>
      <c r="L16" s="5">
        <v>-8.0151197220989165E-3</v>
      </c>
      <c r="M16" s="5">
        <v>9.0949470177292826E-15</v>
      </c>
      <c r="N16" s="5">
        <v>1.0746958878371515E-13</v>
      </c>
      <c r="O16" s="5">
        <v>5.7937654673878569E-14</v>
      </c>
      <c r="P16" s="5">
        <v>-7.543598285923872E-2</v>
      </c>
      <c r="Q16" s="5">
        <v>-28.627992197649743</v>
      </c>
      <c r="R16" s="5">
        <v>-126.50961776346372</v>
      </c>
      <c r="S16" s="5">
        <v>-176.75135257642887</v>
      </c>
      <c r="T16" s="5">
        <v>-172.00243356985743</v>
      </c>
      <c r="U16" s="5">
        <v>-135.25094273150708</v>
      </c>
      <c r="V16" s="5">
        <v>-53.075979445640897</v>
      </c>
      <c r="W16" s="5">
        <v>-1.4966567510712832</v>
      </c>
      <c r="X16" s="5">
        <v>1.8474111129762605E-13</v>
      </c>
      <c r="Y16" s="5">
        <v>1.3925216535426443E-13</v>
      </c>
      <c r="Z16" s="5">
        <v>-1389.2103593213039</v>
      </c>
    </row>
    <row r="17" spans="1:25" x14ac:dyDescent="0.25">
      <c r="A17" t="s">
        <v>43</v>
      </c>
      <c r="B17" s="8">
        <f>B7</f>
        <v>0</v>
      </c>
      <c r="C17" s="8">
        <f t="shared" ref="C17:Y17" si="0">C7</f>
        <v>0</v>
      </c>
      <c r="D17" s="8">
        <f t="shared" si="0"/>
        <v>-4.7693699021692735E-5</v>
      </c>
      <c r="E17" s="8">
        <f t="shared" si="0"/>
        <v>-11.530069523476403</v>
      </c>
      <c r="F17" s="8">
        <f t="shared" si="0"/>
        <v>-0.99078890365209016</v>
      </c>
      <c r="G17" s="8">
        <f t="shared" si="0"/>
        <v>-1.4271543903869024</v>
      </c>
      <c r="H17" s="8">
        <f t="shared" si="0"/>
        <v>-1.4476310123537124</v>
      </c>
      <c r="I17" s="8">
        <f t="shared" si="0"/>
        <v>-1.1142360310501709</v>
      </c>
      <c r="J17" s="8">
        <f t="shared" si="0"/>
        <v>-0.3519159708353109</v>
      </c>
      <c r="K17" s="8">
        <f t="shared" si="0"/>
        <v>-4.611026822203712E-4</v>
      </c>
      <c r="L17" s="8">
        <f t="shared" si="0"/>
        <v>-6.3528007111017361E-5</v>
      </c>
      <c r="M17" s="8">
        <f t="shared" si="0"/>
        <v>9.0949470177292826E-15</v>
      </c>
      <c r="N17" s="8">
        <f t="shared" si="0"/>
        <v>0</v>
      </c>
      <c r="O17" s="8">
        <f t="shared" si="0"/>
        <v>0</v>
      </c>
      <c r="P17" s="8">
        <f t="shared" si="0"/>
        <v>-5.9790718312069662E-4</v>
      </c>
      <c r="Q17" s="8">
        <f t="shared" si="0"/>
        <v>-0.22690606689962442</v>
      </c>
      <c r="R17" s="8">
        <f t="shared" si="0"/>
        <v>-1.0027178851208156</v>
      </c>
      <c r="S17" s="8">
        <f t="shared" si="0"/>
        <v>-1.4009349295407174</v>
      </c>
      <c r="T17" s="8">
        <f t="shared" si="0"/>
        <v>-1.3632948978414461</v>
      </c>
      <c r="U17" s="8">
        <f t="shared" si="0"/>
        <v>-1.0720018102489284</v>
      </c>
      <c r="V17" s="8">
        <f t="shared" si="0"/>
        <v>-0.42068132685338605</v>
      </c>
      <c r="W17" s="8">
        <f t="shared" si="0"/>
        <v>-1.1862532815426676E-2</v>
      </c>
      <c r="X17" s="8">
        <f t="shared" si="0"/>
        <v>0</v>
      </c>
      <c r="Y17" s="8">
        <f t="shared" si="0"/>
        <v>-6.5028871176764376E-14</v>
      </c>
    </row>
    <row r="18" spans="1:25" x14ac:dyDescent="0.25">
      <c r="A18" t="s">
        <v>44</v>
      </c>
      <c r="B18" s="8">
        <f>B8</f>
        <v>1.1641532182693482E-13</v>
      </c>
      <c r="C18" s="8">
        <f t="shared" ref="C18:Y18" si="1">C8</f>
        <v>0</v>
      </c>
      <c r="D18" s="8">
        <f t="shared" si="1"/>
        <v>-5.9696634492720484E-3</v>
      </c>
      <c r="E18" s="8">
        <f t="shared" si="1"/>
        <v>-11.131297498029834</v>
      </c>
      <c r="F18" s="8">
        <f t="shared" si="1"/>
        <v>0</v>
      </c>
      <c r="G18" s="8">
        <f t="shared" si="1"/>
        <v>0</v>
      </c>
      <c r="H18" s="8">
        <f t="shared" si="1"/>
        <v>0</v>
      </c>
      <c r="I18" s="8">
        <f t="shared" si="1"/>
        <v>0</v>
      </c>
      <c r="J18" s="8">
        <f t="shared" si="1"/>
        <v>0</v>
      </c>
      <c r="K18" s="8">
        <f t="shared" si="1"/>
        <v>-6.9521665011852748E-3</v>
      </c>
      <c r="L18" s="8">
        <f t="shared" si="1"/>
        <v>-9.5782848360977373E-4</v>
      </c>
      <c r="M18" s="8">
        <f t="shared" si="1"/>
        <v>0</v>
      </c>
      <c r="N18" s="8">
        <f t="shared" si="1"/>
        <v>0</v>
      </c>
      <c r="O18" s="8">
        <f t="shared" si="1"/>
        <v>-2.9103830456733704E-14</v>
      </c>
      <c r="P18" s="8">
        <f t="shared" si="1"/>
        <v>-9.0148039679043002E-3</v>
      </c>
      <c r="Q18" s="8">
        <f t="shared" si="1"/>
        <v>0</v>
      </c>
      <c r="R18" s="8">
        <f t="shared" si="1"/>
        <v>0</v>
      </c>
      <c r="S18" s="8">
        <f t="shared" si="1"/>
        <v>0</v>
      </c>
      <c r="T18" s="8">
        <f t="shared" si="1"/>
        <v>0</v>
      </c>
      <c r="U18" s="8">
        <f t="shared" si="1"/>
        <v>0</v>
      </c>
      <c r="V18" s="8">
        <f t="shared" si="1"/>
        <v>0</v>
      </c>
      <c r="W18" s="8">
        <f t="shared" si="1"/>
        <v>-0.17885452945333963</v>
      </c>
      <c r="X18" s="8">
        <f t="shared" si="1"/>
        <v>0</v>
      </c>
      <c r="Y18" s="8">
        <f t="shared" si="1"/>
        <v>0</v>
      </c>
    </row>
    <row r="19" spans="1:25" x14ac:dyDescent="0.25">
      <c r="A19" t="s">
        <v>45</v>
      </c>
      <c r="B19" s="8">
        <f>SUM(B9:B10)</f>
        <v>0</v>
      </c>
      <c r="C19" s="8">
        <f t="shared" ref="C19:Y19" si="2">SUM(C9:C10)</f>
        <v>0</v>
      </c>
      <c r="D19" s="8">
        <f t="shared" si="2"/>
        <v>0</v>
      </c>
      <c r="E19" s="8">
        <f t="shared" si="2"/>
        <v>0</v>
      </c>
      <c r="F19" s="8">
        <f t="shared" si="2"/>
        <v>10.387999999999998</v>
      </c>
      <c r="G19" s="8">
        <f t="shared" si="2"/>
        <v>-120.87035219249007</v>
      </c>
      <c r="H19" s="8">
        <f t="shared" si="2"/>
        <v>-306.56123629520084</v>
      </c>
      <c r="I19" s="8">
        <f t="shared" si="2"/>
        <v>21.0276</v>
      </c>
      <c r="J19" s="8">
        <f t="shared" si="2"/>
        <v>71.939831311376736</v>
      </c>
      <c r="K19" s="8">
        <f t="shared" si="2"/>
        <v>0</v>
      </c>
      <c r="L19" s="8">
        <f t="shared" si="2"/>
        <v>0</v>
      </c>
      <c r="M19" s="8">
        <f t="shared" si="2"/>
        <v>0</v>
      </c>
      <c r="N19" s="8">
        <f t="shared" si="2"/>
        <v>0</v>
      </c>
      <c r="O19" s="8">
        <f t="shared" si="2"/>
        <v>0</v>
      </c>
      <c r="P19" s="8">
        <f t="shared" si="2"/>
        <v>0</v>
      </c>
      <c r="Q19" s="8">
        <f t="shared" si="2"/>
        <v>4.9139999999999979</v>
      </c>
      <c r="R19" s="8">
        <f t="shared" si="2"/>
        <v>-33.088000000000001</v>
      </c>
      <c r="S19" s="8">
        <f t="shared" si="2"/>
        <v>-88.61141745873384</v>
      </c>
      <c r="T19" s="8">
        <f t="shared" si="2"/>
        <v>-122.87497772521732</v>
      </c>
      <c r="U19" s="8">
        <f t="shared" si="2"/>
        <v>35.379200000000004</v>
      </c>
      <c r="V19" s="8">
        <f t="shared" si="2"/>
        <v>-77.680064100181013</v>
      </c>
      <c r="W19" s="8">
        <f t="shared" si="2"/>
        <v>0.47580000000000033</v>
      </c>
      <c r="X19" s="8">
        <f t="shared" si="2"/>
        <v>0</v>
      </c>
      <c r="Y19" s="8">
        <f t="shared" si="2"/>
        <v>0</v>
      </c>
    </row>
    <row r="20" spans="1:25" x14ac:dyDescent="0.25">
      <c r="A20" t="s">
        <v>46</v>
      </c>
      <c r="B20" s="8">
        <f>SUM(B11:B12)</f>
        <v>0</v>
      </c>
      <c r="C20" s="8">
        <f t="shared" ref="C20:Y20" si="3">SUM(C11:C12)</f>
        <v>0</v>
      </c>
      <c r="D20" s="8">
        <f t="shared" si="3"/>
        <v>0</v>
      </c>
      <c r="E20" s="8">
        <f t="shared" si="3"/>
        <v>0</v>
      </c>
      <c r="F20" s="8">
        <f t="shared" si="3"/>
        <v>111.99403633333333</v>
      </c>
      <c r="G20" s="8">
        <f t="shared" si="3"/>
        <v>-37.290900600000008</v>
      </c>
      <c r="H20" s="8">
        <f t="shared" si="3"/>
        <v>0</v>
      </c>
      <c r="I20" s="8">
        <f t="shared" si="3"/>
        <v>37.634061934648358</v>
      </c>
      <c r="J20" s="8">
        <f t="shared" si="3"/>
        <v>0</v>
      </c>
      <c r="K20" s="8">
        <f t="shared" si="3"/>
        <v>0</v>
      </c>
      <c r="L20" s="8">
        <f t="shared" si="3"/>
        <v>0</v>
      </c>
      <c r="M20" s="8">
        <f t="shared" si="3"/>
        <v>0</v>
      </c>
      <c r="N20" s="8">
        <f t="shared" si="3"/>
        <v>-16.667440139433495</v>
      </c>
      <c r="O20" s="8">
        <f t="shared" si="3"/>
        <v>3.3799656181850875</v>
      </c>
      <c r="P20" s="8">
        <f t="shared" si="3"/>
        <v>0</v>
      </c>
      <c r="Q20" s="8">
        <f t="shared" si="3"/>
        <v>26.767637999999998</v>
      </c>
      <c r="R20" s="8">
        <f t="shared" si="3"/>
        <v>0</v>
      </c>
      <c r="S20" s="8">
        <f t="shared" si="3"/>
        <v>9.5603593500000006</v>
      </c>
      <c r="T20" s="8">
        <f t="shared" si="3"/>
        <v>0</v>
      </c>
      <c r="U20" s="8">
        <f t="shared" si="3"/>
        <v>-233.49924896666667</v>
      </c>
      <c r="V20" s="8">
        <f t="shared" si="3"/>
        <v>0</v>
      </c>
      <c r="W20" s="8">
        <f t="shared" si="3"/>
        <v>0</v>
      </c>
      <c r="X20" s="8">
        <f t="shared" si="3"/>
        <v>-53.83004552758598</v>
      </c>
      <c r="Y20" s="8">
        <f t="shared" si="3"/>
        <v>-11.080667512060259</v>
      </c>
    </row>
    <row r="21" spans="1:25" x14ac:dyDescent="0.25">
      <c r="A21" t="s">
        <v>47</v>
      </c>
      <c r="B21" s="8">
        <f>SUM(B13:B15)</f>
        <v>0</v>
      </c>
      <c r="C21" s="8">
        <f t="shared" ref="C21:Y21" si="4">SUM(C13:C15)</f>
        <v>0</v>
      </c>
      <c r="D21" s="8">
        <f t="shared" si="4"/>
        <v>0</v>
      </c>
      <c r="E21" s="8">
        <f t="shared" si="4"/>
        <v>0</v>
      </c>
      <c r="F21" s="8">
        <f t="shared" si="4"/>
        <v>-246.39582483402782</v>
      </c>
      <c r="G21" s="8">
        <f t="shared" si="4"/>
        <v>-20.47096853628906</v>
      </c>
      <c r="H21" s="8">
        <f t="shared" si="4"/>
        <v>125.366023539651</v>
      </c>
      <c r="I21" s="8">
        <f t="shared" si="4"/>
        <v>-198.12692137101124</v>
      </c>
      <c r="J21" s="8">
        <f t="shared" si="4"/>
        <v>-115.98799597724953</v>
      </c>
      <c r="K21" s="8">
        <f t="shared" si="4"/>
        <v>-5.0762539728879119E-2</v>
      </c>
      <c r="L21" s="8">
        <f t="shared" si="4"/>
        <v>-6.9937632313781251E-3</v>
      </c>
      <c r="M21" s="8">
        <f t="shared" si="4"/>
        <v>0</v>
      </c>
      <c r="N21" s="8">
        <f t="shared" si="4"/>
        <v>16.667440139433602</v>
      </c>
      <c r="O21" s="8">
        <f t="shared" si="4"/>
        <v>-3.3799656181850004</v>
      </c>
      <c r="P21" s="8">
        <f t="shared" si="4"/>
        <v>-6.5823271708213726E-2</v>
      </c>
      <c r="Q21" s="8">
        <f t="shared" si="4"/>
        <v>-60.082724130750115</v>
      </c>
      <c r="R21" s="8">
        <f t="shared" si="4"/>
        <v>-92.418899878342899</v>
      </c>
      <c r="S21" s="8">
        <f t="shared" si="4"/>
        <v>-96.29935953815432</v>
      </c>
      <c r="T21" s="8">
        <f t="shared" si="4"/>
        <v>-47.764160946798661</v>
      </c>
      <c r="U21" s="8">
        <f t="shared" si="4"/>
        <v>63.941108045408534</v>
      </c>
      <c r="V21" s="8">
        <f t="shared" si="4"/>
        <v>25.0247659813935</v>
      </c>
      <c r="W21" s="8">
        <f t="shared" si="4"/>
        <v>-1.7817396888025172</v>
      </c>
      <c r="X21" s="8">
        <f t="shared" si="4"/>
        <v>53.830045527586165</v>
      </c>
      <c r="Y21" s="8">
        <f t="shared" si="4"/>
        <v>11.080667512060463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9432C-5AD5-4CF5-9687-E8D50E709EEE}">
  <dimension ref="A1:Z21"/>
  <sheetViews>
    <sheetView workbookViewId="0">
      <selection activeCell="B7" sqref="B7:Z15"/>
    </sheetView>
  </sheetViews>
  <sheetFormatPr baseColWidth="10" defaultRowHeight="15" x14ac:dyDescent="0.25"/>
  <sheetData>
    <row r="1" spans="1:26" x14ac:dyDescent="0.25">
      <c r="A1" t="s">
        <v>0</v>
      </c>
    </row>
    <row r="2" spans="1:26" x14ac:dyDescent="0.25">
      <c r="A2" t="s">
        <v>39</v>
      </c>
    </row>
    <row r="3" spans="1:26" x14ac:dyDescent="0.25">
      <c r="A3" t="s">
        <v>2</v>
      </c>
    </row>
    <row r="4" spans="1:26" x14ac:dyDescent="0.25">
      <c r="A4" t="s">
        <v>3</v>
      </c>
    </row>
    <row r="6" spans="1:26" x14ac:dyDescent="0.2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</row>
    <row r="7" spans="1:26" x14ac:dyDescent="0.25">
      <c r="A7" t="s">
        <v>30</v>
      </c>
      <c r="B7">
        <v>0</v>
      </c>
      <c r="C7">
        <v>-1.8189894035458565E-15</v>
      </c>
      <c r="D7">
        <v>-1.2965103112037469E-4</v>
      </c>
      <c r="E7">
        <v>-0.48826578317274838</v>
      </c>
      <c r="F7">
        <v>-2.6933705203480058</v>
      </c>
      <c r="G7">
        <v>-3.8795908481460413</v>
      </c>
      <c r="H7">
        <v>-3.9352547032401097</v>
      </c>
      <c r="I7">
        <v>-3.0289504330115924</v>
      </c>
      <c r="J7">
        <v>-0.95665191444282571</v>
      </c>
      <c r="K7">
        <v>-1.2534661688023334E-3</v>
      </c>
      <c r="L7">
        <v>-1.7269517344902852E-4</v>
      </c>
      <c r="M7">
        <v>-9.0949470177292826E-15</v>
      </c>
      <c r="N7">
        <v>2.7830537874251604E-13</v>
      </c>
      <c r="O7">
        <v>-3.637978807091713E-15</v>
      </c>
      <c r="P7">
        <v>-1.6253568999291021E-3</v>
      </c>
      <c r="Q7">
        <v>-0.61682373432131132</v>
      </c>
      <c r="R7">
        <v>-2.7257983835459054</v>
      </c>
      <c r="S7">
        <v>-3.8083156020848019</v>
      </c>
      <c r="T7">
        <v>-3.7059945613564578</v>
      </c>
      <c r="U7">
        <v>-2.9141405024233138</v>
      </c>
      <c r="V7">
        <v>-1.1435843498361047</v>
      </c>
      <c r="W7">
        <v>-3.2247228510492276E-2</v>
      </c>
      <c r="X7">
        <v>0</v>
      </c>
      <c r="Y7">
        <v>-3.637978807091713E-15</v>
      </c>
      <c r="Z7">
        <v>-29.932169733712751</v>
      </c>
    </row>
    <row r="8" spans="1:26" x14ac:dyDescent="0.25">
      <c r="A8" t="s">
        <v>31</v>
      </c>
      <c r="B8">
        <v>-4.3655745685100556E-14</v>
      </c>
      <c r="C8">
        <v>3.4924596548080445E-13</v>
      </c>
      <c r="D8">
        <v>-1.6227993159991457E-2</v>
      </c>
      <c r="E8">
        <v>-61.114622240230844</v>
      </c>
      <c r="F8">
        <v>0</v>
      </c>
      <c r="G8">
        <v>0</v>
      </c>
      <c r="H8">
        <v>0</v>
      </c>
      <c r="I8">
        <v>0</v>
      </c>
      <c r="J8">
        <v>-114.85871916677586</v>
      </c>
      <c r="K8">
        <v>-0.1568922378694988</v>
      </c>
      <c r="L8">
        <v>-2.1615686889097561E-2</v>
      </c>
      <c r="M8">
        <v>5.8207660913467408E-14</v>
      </c>
      <c r="N8">
        <v>-7.2759576141834273E-14</v>
      </c>
      <c r="O8">
        <v>3.7834979593753818E-13</v>
      </c>
      <c r="P8">
        <v>-0.20344057758722922</v>
      </c>
      <c r="Q8">
        <v>-77.205798176044738</v>
      </c>
      <c r="R8">
        <v>0</v>
      </c>
      <c r="S8">
        <v>0</v>
      </c>
      <c r="T8">
        <v>0</v>
      </c>
      <c r="U8">
        <v>0</v>
      </c>
      <c r="V8">
        <v>0</v>
      </c>
      <c r="W8">
        <v>-4.036279535926325</v>
      </c>
      <c r="X8">
        <v>0</v>
      </c>
      <c r="Y8">
        <v>2.0372681319713593E-13</v>
      </c>
      <c r="Z8">
        <v>-257.61359561448273</v>
      </c>
    </row>
    <row r="9" spans="1:26" x14ac:dyDescent="0.25">
      <c r="A9" t="s">
        <v>32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-1.1922546664901492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-51.700000000000017</v>
      </c>
      <c r="S9">
        <v>0</v>
      </c>
      <c r="T9">
        <v>-70.3</v>
      </c>
      <c r="U9">
        <v>0</v>
      </c>
      <c r="V9">
        <v>0</v>
      </c>
      <c r="W9">
        <v>0</v>
      </c>
      <c r="X9">
        <v>0</v>
      </c>
      <c r="Y9">
        <v>0</v>
      </c>
      <c r="Z9">
        <v>-123.19225466649017</v>
      </c>
    </row>
    <row r="10" spans="1:26" x14ac:dyDescent="0.25">
      <c r="A10" t="s">
        <v>33</v>
      </c>
      <c r="B10">
        <v>0</v>
      </c>
      <c r="C10">
        <v>0</v>
      </c>
      <c r="D10">
        <v>0</v>
      </c>
      <c r="E10">
        <v>0</v>
      </c>
      <c r="F10">
        <v>0</v>
      </c>
      <c r="G10">
        <v>-65.040051947460199</v>
      </c>
      <c r="H10">
        <v>-256.65033267663529</v>
      </c>
      <c r="I10">
        <v>0</v>
      </c>
      <c r="J10">
        <v>-3.6900000000000004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-242.6906170103768</v>
      </c>
      <c r="T10">
        <v>-340.7032125704967</v>
      </c>
      <c r="U10">
        <v>0</v>
      </c>
      <c r="V10">
        <v>-49.55091568481042</v>
      </c>
      <c r="W10">
        <v>0</v>
      </c>
      <c r="X10">
        <v>0</v>
      </c>
      <c r="Y10">
        <v>0</v>
      </c>
      <c r="Z10">
        <v>-958.32512988977942</v>
      </c>
    </row>
    <row r="11" spans="1:26" x14ac:dyDescent="0.25">
      <c r="A11" t="s">
        <v>34</v>
      </c>
      <c r="B11">
        <v>0</v>
      </c>
      <c r="C11">
        <v>0</v>
      </c>
      <c r="D11">
        <v>0</v>
      </c>
      <c r="E11">
        <v>0</v>
      </c>
      <c r="F11">
        <v>-33.676811999999998</v>
      </c>
      <c r="G11">
        <v>-14.965136727044531</v>
      </c>
      <c r="H11">
        <v>0</v>
      </c>
      <c r="I11">
        <v>-52.002208799999991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7.4682648</v>
      </c>
      <c r="S11">
        <v>-9.5603593500000006</v>
      </c>
      <c r="T11">
        <v>-57.948633000000022</v>
      </c>
      <c r="U11">
        <v>-64.67534550000002</v>
      </c>
      <c r="V11">
        <v>0</v>
      </c>
      <c r="W11">
        <v>0</v>
      </c>
      <c r="X11">
        <v>0</v>
      </c>
      <c r="Y11">
        <v>0</v>
      </c>
      <c r="Z11">
        <v>-225.36023057704455</v>
      </c>
    </row>
    <row r="12" spans="1:26" x14ac:dyDescent="0.25">
      <c r="A12" t="s">
        <v>35</v>
      </c>
      <c r="B12">
        <v>0</v>
      </c>
      <c r="C12">
        <v>0</v>
      </c>
      <c r="D12">
        <v>0</v>
      </c>
      <c r="E12">
        <v>0</v>
      </c>
      <c r="F12">
        <v>-184.44833333333335</v>
      </c>
      <c r="G12">
        <v>215.9907043067104</v>
      </c>
      <c r="H12">
        <v>0</v>
      </c>
      <c r="I12">
        <v>-41.735601938293662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225.36697140084263</v>
      </c>
      <c r="T12">
        <v>-310.46708333333333</v>
      </c>
      <c r="U12">
        <v>-321.93065068582331</v>
      </c>
      <c r="V12">
        <v>0</v>
      </c>
      <c r="W12">
        <v>0</v>
      </c>
      <c r="X12">
        <v>0</v>
      </c>
      <c r="Y12">
        <v>0</v>
      </c>
      <c r="Z12">
        <v>-417.22399358323065</v>
      </c>
    </row>
    <row r="13" spans="1:26" x14ac:dyDescent="0.25">
      <c r="A13" t="s">
        <v>36</v>
      </c>
      <c r="B13">
        <v>0</v>
      </c>
      <c r="C13">
        <v>0</v>
      </c>
      <c r="D13">
        <v>0</v>
      </c>
      <c r="E13">
        <v>0</v>
      </c>
      <c r="F13">
        <v>-98.570209594048748</v>
      </c>
      <c r="G13">
        <v>0</v>
      </c>
      <c r="H13">
        <v>-112.72285030657494</v>
      </c>
      <c r="I13">
        <v>-210.78253151362415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-53.891234290546976</v>
      </c>
      <c r="S13">
        <v>-3.7762846679334494</v>
      </c>
      <c r="T13">
        <v>0</v>
      </c>
      <c r="U13">
        <v>-409.88160543163599</v>
      </c>
      <c r="V13">
        <v>-136.87647054147885</v>
      </c>
      <c r="W13">
        <v>0</v>
      </c>
      <c r="X13">
        <v>0</v>
      </c>
      <c r="Y13">
        <v>0</v>
      </c>
      <c r="Z13">
        <v>-1026.5011863458431</v>
      </c>
    </row>
    <row r="14" spans="1:26" x14ac:dyDescent="0.25">
      <c r="A14" t="s">
        <v>37</v>
      </c>
      <c r="B14">
        <v>0</v>
      </c>
      <c r="C14">
        <v>0</v>
      </c>
      <c r="D14">
        <v>0</v>
      </c>
      <c r="E14">
        <v>0</v>
      </c>
      <c r="F14">
        <v>-20.424974976642698</v>
      </c>
      <c r="G14">
        <v>-475.90000000000009</v>
      </c>
      <c r="H14">
        <v>-150.95474662553852</v>
      </c>
      <c r="I14">
        <v>-54.542022580653466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-133.43926845688861</v>
      </c>
      <c r="S14">
        <v>-411.80000000000013</v>
      </c>
      <c r="T14">
        <v>321.79041761929977</v>
      </c>
      <c r="U14">
        <v>349.7704666926395</v>
      </c>
      <c r="V14">
        <v>0</v>
      </c>
      <c r="W14">
        <v>0</v>
      </c>
      <c r="X14">
        <v>0</v>
      </c>
      <c r="Y14">
        <v>0</v>
      </c>
      <c r="Z14">
        <v>-575.5001283277843</v>
      </c>
    </row>
    <row r="15" spans="1:26" x14ac:dyDescent="0.25">
      <c r="A15" t="s">
        <v>38</v>
      </c>
      <c r="B15">
        <v>0</v>
      </c>
      <c r="C15">
        <v>0</v>
      </c>
      <c r="D15">
        <v>0</v>
      </c>
      <c r="E15">
        <v>0</v>
      </c>
      <c r="F15">
        <v>0</v>
      </c>
      <c r="G15">
        <v>-145.68114265</v>
      </c>
      <c r="H15">
        <v>27.765040919650289</v>
      </c>
      <c r="I15">
        <v>-20.061399063036632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-109.61698094225643</v>
      </c>
      <c r="S15">
        <v>-34.214049255394514</v>
      </c>
      <c r="T15">
        <v>-6.2386394502981997</v>
      </c>
      <c r="U15">
        <v>81.963752446758363</v>
      </c>
      <c r="V15">
        <v>43.288694250105706</v>
      </c>
      <c r="W15">
        <v>0</v>
      </c>
      <c r="X15">
        <v>0</v>
      </c>
      <c r="Y15">
        <v>0</v>
      </c>
      <c r="Z15">
        <v>-162.79472374447141</v>
      </c>
    </row>
    <row r="16" spans="1:26" x14ac:dyDescent="0.25">
      <c r="A16" t="s">
        <v>29</v>
      </c>
      <c r="B16">
        <v>-8.7311491370201113E-14</v>
      </c>
      <c r="C16">
        <v>2.6011548470705751E-13</v>
      </c>
      <c r="D16">
        <v>-1.6357644191082727E-2</v>
      </c>
      <c r="E16">
        <v>-61.602888023403622</v>
      </c>
      <c r="F16">
        <v>-339.81370042437266</v>
      </c>
      <c r="G16">
        <v>-489.47521786594029</v>
      </c>
      <c r="H16">
        <v>-496.49814339233876</v>
      </c>
      <c r="I16">
        <v>-382.15271432861937</v>
      </c>
      <c r="J16">
        <v>-120.69762574770856</v>
      </c>
      <c r="K16">
        <v>-0.15814570403830114</v>
      </c>
      <c r="L16">
        <v>-2.1788382062546591E-2</v>
      </c>
      <c r="M16">
        <v>-9.0949470177292826E-15</v>
      </c>
      <c r="N16">
        <v>3.2196112442761658E-13</v>
      </c>
      <c r="O16">
        <v>2.8740032576024533E-13</v>
      </c>
      <c r="P16">
        <v>-0.20506593448721649</v>
      </c>
      <c r="Q16">
        <v>-77.822621910366053</v>
      </c>
      <c r="R16">
        <v>-343.90501727323812</v>
      </c>
      <c r="S16">
        <v>-480.48265448494698</v>
      </c>
      <c r="T16">
        <v>-467.57314529618486</v>
      </c>
      <c r="U16">
        <v>-367.66752298048465</v>
      </c>
      <c r="V16">
        <v>-144.28227632601971</v>
      </c>
      <c r="W16">
        <v>-4.0685267644368173</v>
      </c>
      <c r="X16">
        <v>0</v>
      </c>
      <c r="Y16">
        <v>2.0008883439004421E-13</v>
      </c>
      <c r="Z16">
        <v>-3776.4434124828385</v>
      </c>
    </row>
    <row r="17" spans="1:25" x14ac:dyDescent="0.25">
      <c r="A17" t="s">
        <v>43</v>
      </c>
      <c r="B17">
        <f>B7</f>
        <v>0</v>
      </c>
      <c r="C17">
        <f t="shared" ref="C17:E17" si="0">C7</f>
        <v>-1.8189894035458565E-15</v>
      </c>
      <c r="D17">
        <f t="shared" si="0"/>
        <v>-1.2965103112037469E-4</v>
      </c>
      <c r="E17">
        <f t="shared" si="0"/>
        <v>-0.48826578317274838</v>
      </c>
      <c r="F17">
        <f t="shared" ref="F17:Y17" si="1">F7</f>
        <v>-2.6933705203480058</v>
      </c>
      <c r="G17">
        <f t="shared" si="1"/>
        <v>-3.8795908481460413</v>
      </c>
      <c r="H17">
        <f t="shared" si="1"/>
        <v>-3.9352547032401097</v>
      </c>
      <c r="I17">
        <f t="shared" si="1"/>
        <v>-3.0289504330115924</v>
      </c>
      <c r="J17">
        <f t="shared" si="1"/>
        <v>-0.95665191444282571</v>
      </c>
      <c r="K17">
        <f t="shared" si="1"/>
        <v>-1.2534661688023334E-3</v>
      </c>
      <c r="L17">
        <f t="shared" si="1"/>
        <v>-1.7269517344902852E-4</v>
      </c>
      <c r="M17">
        <f t="shared" si="1"/>
        <v>-9.0949470177292826E-15</v>
      </c>
      <c r="N17">
        <f t="shared" si="1"/>
        <v>2.7830537874251604E-13</v>
      </c>
      <c r="O17">
        <f t="shared" si="1"/>
        <v>-3.637978807091713E-15</v>
      </c>
      <c r="P17">
        <f t="shared" si="1"/>
        <v>-1.6253568999291021E-3</v>
      </c>
      <c r="Q17">
        <f t="shared" si="1"/>
        <v>-0.61682373432131132</v>
      </c>
      <c r="R17">
        <f t="shared" si="1"/>
        <v>-2.7257983835459054</v>
      </c>
      <c r="S17">
        <f t="shared" si="1"/>
        <v>-3.8083156020848019</v>
      </c>
      <c r="T17">
        <f t="shared" si="1"/>
        <v>-3.7059945613564578</v>
      </c>
      <c r="U17">
        <f t="shared" si="1"/>
        <v>-2.9141405024233138</v>
      </c>
      <c r="V17">
        <f t="shared" si="1"/>
        <v>-1.1435843498361047</v>
      </c>
      <c r="W17">
        <f t="shared" si="1"/>
        <v>-3.2247228510492276E-2</v>
      </c>
      <c r="X17">
        <f t="shared" si="1"/>
        <v>0</v>
      </c>
      <c r="Y17">
        <f t="shared" si="1"/>
        <v>-3.637978807091713E-15</v>
      </c>
    </row>
    <row r="18" spans="1:25" x14ac:dyDescent="0.25">
      <c r="A18" t="s">
        <v>44</v>
      </c>
      <c r="B18">
        <f>B8</f>
        <v>-4.3655745685100556E-14</v>
      </c>
      <c r="C18">
        <f t="shared" ref="C18:E18" si="2">C8</f>
        <v>3.4924596548080445E-13</v>
      </c>
      <c r="D18">
        <f t="shared" si="2"/>
        <v>-1.6227993159991457E-2</v>
      </c>
      <c r="E18">
        <f t="shared" si="2"/>
        <v>-61.114622240230844</v>
      </c>
      <c r="F18">
        <f t="shared" ref="F18:Y18" si="3">F8</f>
        <v>0</v>
      </c>
      <c r="G18">
        <f t="shared" si="3"/>
        <v>0</v>
      </c>
      <c r="H18">
        <f t="shared" si="3"/>
        <v>0</v>
      </c>
      <c r="I18">
        <f t="shared" si="3"/>
        <v>0</v>
      </c>
      <c r="J18">
        <f t="shared" si="3"/>
        <v>-114.85871916677586</v>
      </c>
      <c r="K18">
        <f t="shared" si="3"/>
        <v>-0.1568922378694988</v>
      </c>
      <c r="L18">
        <f t="shared" si="3"/>
        <v>-2.1615686889097561E-2</v>
      </c>
      <c r="M18">
        <f t="shared" si="3"/>
        <v>5.8207660913467408E-14</v>
      </c>
      <c r="N18">
        <f t="shared" si="3"/>
        <v>-7.2759576141834273E-14</v>
      </c>
      <c r="O18">
        <f t="shared" si="3"/>
        <v>3.7834979593753818E-13</v>
      </c>
      <c r="P18">
        <f t="shared" si="3"/>
        <v>-0.20344057758722922</v>
      </c>
      <c r="Q18">
        <f t="shared" si="3"/>
        <v>-77.205798176044738</v>
      </c>
      <c r="R18">
        <f t="shared" si="3"/>
        <v>0</v>
      </c>
      <c r="S18">
        <f t="shared" si="3"/>
        <v>0</v>
      </c>
      <c r="T18">
        <f t="shared" si="3"/>
        <v>0</v>
      </c>
      <c r="U18">
        <f t="shared" si="3"/>
        <v>0</v>
      </c>
      <c r="V18">
        <f t="shared" si="3"/>
        <v>0</v>
      </c>
      <c r="W18">
        <f t="shared" si="3"/>
        <v>-4.036279535926325</v>
      </c>
      <c r="X18">
        <f t="shared" si="3"/>
        <v>0</v>
      </c>
      <c r="Y18">
        <f t="shared" si="3"/>
        <v>2.0372681319713593E-13</v>
      </c>
    </row>
    <row r="19" spans="1:25" x14ac:dyDescent="0.25">
      <c r="A19" t="s">
        <v>45</v>
      </c>
      <c r="B19">
        <f>SUM(B9:B10)</f>
        <v>0</v>
      </c>
      <c r="C19">
        <f t="shared" ref="C19:E19" si="4">SUM(C9:C10)</f>
        <v>0</v>
      </c>
      <c r="D19">
        <f t="shared" si="4"/>
        <v>0</v>
      </c>
      <c r="E19">
        <f t="shared" si="4"/>
        <v>0</v>
      </c>
      <c r="F19">
        <f t="shared" ref="F19:Y19" si="5">SUM(F9:F10)</f>
        <v>0</v>
      </c>
      <c r="G19">
        <f t="shared" si="5"/>
        <v>-65.040051947460199</v>
      </c>
      <c r="H19">
        <f t="shared" si="5"/>
        <v>-256.65033267663529</v>
      </c>
      <c r="I19">
        <f t="shared" si="5"/>
        <v>0</v>
      </c>
      <c r="J19">
        <f t="shared" si="5"/>
        <v>-4.8822546664901498</v>
      </c>
      <c r="K19">
        <f t="shared" si="5"/>
        <v>0</v>
      </c>
      <c r="L19">
        <f t="shared" si="5"/>
        <v>0</v>
      </c>
      <c r="M19">
        <f t="shared" si="5"/>
        <v>0</v>
      </c>
      <c r="N19">
        <f t="shared" si="5"/>
        <v>0</v>
      </c>
      <c r="O19">
        <f t="shared" si="5"/>
        <v>0</v>
      </c>
      <c r="P19">
        <f t="shared" si="5"/>
        <v>0</v>
      </c>
      <c r="Q19">
        <f t="shared" si="5"/>
        <v>0</v>
      </c>
      <c r="R19">
        <f t="shared" si="5"/>
        <v>-51.700000000000017</v>
      </c>
      <c r="S19">
        <f t="shared" si="5"/>
        <v>-242.6906170103768</v>
      </c>
      <c r="T19">
        <f t="shared" si="5"/>
        <v>-411.00321257049671</v>
      </c>
      <c r="U19">
        <f t="shared" si="5"/>
        <v>0</v>
      </c>
      <c r="V19">
        <f t="shared" si="5"/>
        <v>-49.55091568481042</v>
      </c>
      <c r="W19">
        <f t="shared" si="5"/>
        <v>0</v>
      </c>
      <c r="X19">
        <f t="shared" si="5"/>
        <v>0</v>
      </c>
      <c r="Y19">
        <f t="shared" si="5"/>
        <v>0</v>
      </c>
    </row>
    <row r="20" spans="1:25" x14ac:dyDescent="0.25">
      <c r="A20" t="s">
        <v>46</v>
      </c>
      <c r="B20">
        <f>SUM(B11:B12)</f>
        <v>0</v>
      </c>
      <c r="C20">
        <f t="shared" ref="C20:E20" si="6">SUM(C11:C12)</f>
        <v>0</v>
      </c>
      <c r="D20">
        <f t="shared" si="6"/>
        <v>0</v>
      </c>
      <c r="E20">
        <f t="shared" si="6"/>
        <v>0</v>
      </c>
      <c r="F20">
        <f t="shared" ref="F20:Y20" si="7">SUM(F11:F12)</f>
        <v>-218.12514533333336</v>
      </c>
      <c r="G20">
        <f t="shared" si="7"/>
        <v>201.02556757966587</v>
      </c>
      <c r="H20">
        <f t="shared" si="7"/>
        <v>0</v>
      </c>
      <c r="I20">
        <f t="shared" si="7"/>
        <v>-93.737810738293661</v>
      </c>
      <c r="J20">
        <f t="shared" si="7"/>
        <v>0</v>
      </c>
      <c r="K20">
        <f t="shared" si="7"/>
        <v>0</v>
      </c>
      <c r="L20">
        <f t="shared" si="7"/>
        <v>0</v>
      </c>
      <c r="M20">
        <f t="shared" si="7"/>
        <v>0</v>
      </c>
      <c r="N20">
        <f t="shared" si="7"/>
        <v>0</v>
      </c>
      <c r="O20">
        <f t="shared" si="7"/>
        <v>0</v>
      </c>
      <c r="P20">
        <f t="shared" si="7"/>
        <v>0</v>
      </c>
      <c r="Q20">
        <f t="shared" si="7"/>
        <v>0</v>
      </c>
      <c r="R20">
        <f t="shared" si="7"/>
        <v>7.4682648</v>
      </c>
      <c r="S20">
        <f t="shared" si="7"/>
        <v>215.80661205084263</v>
      </c>
      <c r="T20">
        <f t="shared" si="7"/>
        <v>-368.41571633333336</v>
      </c>
      <c r="U20">
        <f t="shared" si="7"/>
        <v>-386.6059961858233</v>
      </c>
      <c r="V20">
        <f t="shared" si="7"/>
        <v>0</v>
      </c>
      <c r="W20">
        <f t="shared" si="7"/>
        <v>0</v>
      </c>
      <c r="X20">
        <f t="shared" si="7"/>
        <v>0</v>
      </c>
      <c r="Y20">
        <f t="shared" si="7"/>
        <v>0</v>
      </c>
    </row>
    <row r="21" spans="1:25" x14ac:dyDescent="0.25">
      <c r="A21" t="s">
        <v>47</v>
      </c>
      <c r="B21">
        <f>SUM(B13:B15)</f>
        <v>0</v>
      </c>
      <c r="C21">
        <f t="shared" ref="C21:E21" si="8">SUM(C13:C15)</f>
        <v>0</v>
      </c>
      <c r="D21">
        <f t="shared" si="8"/>
        <v>0</v>
      </c>
      <c r="E21">
        <f t="shared" si="8"/>
        <v>0</v>
      </c>
      <c r="F21">
        <f t="shared" ref="F21:Y21" si="9">SUM(F13:F15)</f>
        <v>-118.99518457069145</v>
      </c>
      <c r="G21">
        <f t="shared" si="9"/>
        <v>-621.58114265000006</v>
      </c>
      <c r="H21">
        <f t="shared" si="9"/>
        <v>-235.9125560124632</v>
      </c>
      <c r="I21">
        <f t="shared" si="9"/>
        <v>-285.38595315731425</v>
      </c>
      <c r="J21">
        <f t="shared" si="9"/>
        <v>0</v>
      </c>
      <c r="K21">
        <f t="shared" si="9"/>
        <v>0</v>
      </c>
      <c r="L21">
        <f t="shared" si="9"/>
        <v>0</v>
      </c>
      <c r="M21">
        <f t="shared" si="9"/>
        <v>0</v>
      </c>
      <c r="N21">
        <f t="shared" si="9"/>
        <v>0</v>
      </c>
      <c r="O21">
        <f t="shared" si="9"/>
        <v>0</v>
      </c>
      <c r="P21">
        <f t="shared" si="9"/>
        <v>0</v>
      </c>
      <c r="Q21">
        <f t="shared" si="9"/>
        <v>0</v>
      </c>
      <c r="R21">
        <f t="shared" si="9"/>
        <v>-296.94748368969204</v>
      </c>
      <c r="S21">
        <f t="shared" si="9"/>
        <v>-449.79033392332809</v>
      </c>
      <c r="T21">
        <f t="shared" si="9"/>
        <v>315.55177816900158</v>
      </c>
      <c r="U21">
        <f t="shared" si="9"/>
        <v>21.852613707761876</v>
      </c>
      <c r="V21">
        <f t="shared" si="9"/>
        <v>-93.587776291373146</v>
      </c>
      <c r="W21">
        <f t="shared" si="9"/>
        <v>0</v>
      </c>
      <c r="X21">
        <f t="shared" si="9"/>
        <v>0</v>
      </c>
      <c r="Y21">
        <f t="shared" si="9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D38E8-63E8-4233-9075-09BBA95EA2E2}">
  <dimension ref="A1:Z23"/>
  <sheetViews>
    <sheetView topLeftCell="A5" workbookViewId="0">
      <selection activeCell="D25" sqref="D25"/>
    </sheetView>
  </sheetViews>
  <sheetFormatPr baseColWidth="10" defaultRowHeight="15" x14ac:dyDescent="0.25"/>
  <sheetData>
    <row r="1" spans="1:26" x14ac:dyDescent="0.25">
      <c r="A1" t="s">
        <v>0</v>
      </c>
    </row>
    <row r="2" spans="1:26" x14ac:dyDescent="0.25">
      <c r="A2" t="s">
        <v>40</v>
      </c>
    </row>
    <row r="3" spans="1:26" x14ac:dyDescent="0.25">
      <c r="A3" t="s">
        <v>2</v>
      </c>
    </row>
    <row r="4" spans="1:26" x14ac:dyDescent="0.25">
      <c r="A4" t="s">
        <v>3</v>
      </c>
    </row>
    <row r="6" spans="1:26" x14ac:dyDescent="0.2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</row>
    <row r="7" spans="1:26" x14ac:dyDescent="0.25">
      <c r="A7" t="s">
        <v>41</v>
      </c>
      <c r="B7">
        <v>2.473825588822365E-13</v>
      </c>
      <c r="C7">
        <v>4.3655745685100554E-13</v>
      </c>
      <c r="D7">
        <v>-1.2496652927234665E-2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-1.2496652926550724E-2</v>
      </c>
    </row>
    <row r="8" spans="1:26" x14ac:dyDescent="0.25">
      <c r="A8" t="s">
        <v>42</v>
      </c>
      <c r="B8">
        <v>0</v>
      </c>
      <c r="C8">
        <v>0</v>
      </c>
      <c r="D8">
        <v>0</v>
      </c>
      <c r="E8">
        <v>0</v>
      </c>
      <c r="F8">
        <v>-45.797300675000002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-16.003096119999999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-61.800396794999997</v>
      </c>
    </row>
    <row r="9" spans="1:26" x14ac:dyDescent="0.25">
      <c r="A9" t="s">
        <v>30</v>
      </c>
      <c r="B9">
        <v>0</v>
      </c>
      <c r="C9">
        <v>0</v>
      </c>
      <c r="D9">
        <v>-1.6397113929815532E-4</v>
      </c>
      <c r="E9">
        <v>-0.61751531059259834</v>
      </c>
      <c r="F9">
        <v>-37.426336447756334</v>
      </c>
      <c r="G9">
        <v>-4.9065628396030316</v>
      </c>
      <c r="H9">
        <v>-4.9769615526642701</v>
      </c>
      <c r="I9">
        <v>-3.8307481946752762</v>
      </c>
      <c r="J9">
        <v>-1.2098885984544776</v>
      </c>
      <c r="K9">
        <v>-1.585272974720283E-3</v>
      </c>
      <c r="L9">
        <v>-2.184095575430547E-4</v>
      </c>
      <c r="M9">
        <v>0</v>
      </c>
      <c r="N9">
        <v>0</v>
      </c>
      <c r="O9">
        <v>0</v>
      </c>
      <c r="P9">
        <v>-2.0556074283176714E-3</v>
      </c>
      <c r="Q9">
        <v>-0.78010401917928718</v>
      </c>
      <c r="R9">
        <v>-3.4473483365771935</v>
      </c>
      <c r="S9">
        <v>-4.8164202221477099</v>
      </c>
      <c r="T9">
        <v>-4.6870136337217243</v>
      </c>
      <c r="U9">
        <v>-3.6855467646556663</v>
      </c>
      <c r="V9">
        <v>-1.4463041837359669</v>
      </c>
      <c r="W9">
        <v>-4.0783438069345722E-2</v>
      </c>
      <c r="X9">
        <v>0</v>
      </c>
      <c r="Y9">
        <v>0</v>
      </c>
      <c r="Z9">
        <v>-71.875556802932763</v>
      </c>
    </row>
    <row r="10" spans="1:26" x14ac:dyDescent="0.25">
      <c r="A10" t="s">
        <v>31</v>
      </c>
      <c r="B10">
        <v>-5.2386894822120673E-13</v>
      </c>
      <c r="C10">
        <v>-1.7462298274040223E-13</v>
      </c>
      <c r="D10">
        <v>-8.0270752997603275E-3</v>
      </c>
      <c r="E10">
        <v>-77.292360503321888</v>
      </c>
      <c r="F10">
        <v>-248.25760253266512</v>
      </c>
      <c r="G10">
        <v>0</v>
      </c>
      <c r="H10">
        <v>0</v>
      </c>
      <c r="I10">
        <v>0</v>
      </c>
      <c r="J10">
        <v>-151.4377767101243</v>
      </c>
      <c r="K10">
        <v>-0.19842340449939366</v>
      </c>
      <c r="L10">
        <v>-2.7337605998109211E-2</v>
      </c>
      <c r="M10">
        <v>2.3283064365386963E-13</v>
      </c>
      <c r="N10">
        <v>1.1641532182693487E-13</v>
      </c>
      <c r="O10">
        <v>8.7311491370201087E-14</v>
      </c>
      <c r="P10">
        <v>-0.25729362118997962</v>
      </c>
      <c r="Q10">
        <v>-97.64305442505534</v>
      </c>
      <c r="R10">
        <v>-202.50436747252317</v>
      </c>
      <c r="S10">
        <v>0</v>
      </c>
      <c r="T10">
        <v>0</v>
      </c>
      <c r="U10">
        <v>0</v>
      </c>
      <c r="V10">
        <v>-181.02913798122455</v>
      </c>
      <c r="W10">
        <v>-5.1047288119804701</v>
      </c>
      <c r="X10">
        <v>1.0004441719502209E-13</v>
      </c>
      <c r="Y10">
        <v>-2.7648638933897013E-13</v>
      </c>
      <c r="Z10">
        <v>-963.76011014388257</v>
      </c>
    </row>
    <row r="11" spans="1:26" x14ac:dyDescent="0.25">
      <c r="A1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-1.4311072076793303</v>
      </c>
      <c r="H11">
        <v>-75.879999999999981</v>
      </c>
      <c r="I11">
        <v>-65.720459647351191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-33.088000000000001</v>
      </c>
      <c r="S11">
        <v>-118.47359999999998</v>
      </c>
      <c r="T11">
        <v>-70.3</v>
      </c>
      <c r="U11">
        <v>41.399385345785653</v>
      </c>
      <c r="V11">
        <v>0</v>
      </c>
      <c r="W11">
        <v>0</v>
      </c>
      <c r="X11">
        <v>0</v>
      </c>
      <c r="Y11">
        <v>0</v>
      </c>
      <c r="Z11">
        <v>-323.49378150924485</v>
      </c>
    </row>
    <row r="12" spans="1:26" x14ac:dyDescent="0.25">
      <c r="A12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-57.26133888509171</v>
      </c>
      <c r="S12">
        <v>4.2879577906422197</v>
      </c>
      <c r="T12">
        <v>0</v>
      </c>
      <c r="U12">
        <v>81.963752446758463</v>
      </c>
      <c r="V12">
        <v>0</v>
      </c>
      <c r="W12">
        <v>0</v>
      </c>
      <c r="X12">
        <v>0</v>
      </c>
      <c r="Y12">
        <v>0</v>
      </c>
      <c r="Z12">
        <v>28.990371352308969</v>
      </c>
    </row>
    <row r="13" spans="1:26" x14ac:dyDescent="0.25">
      <c r="A13" t="s">
        <v>34</v>
      </c>
      <c r="B13">
        <v>0</v>
      </c>
      <c r="C13">
        <v>0</v>
      </c>
      <c r="D13">
        <v>0</v>
      </c>
      <c r="E13">
        <v>0</v>
      </c>
      <c r="F13">
        <v>0</v>
      </c>
      <c r="G13">
        <v>-37.290900600000008</v>
      </c>
      <c r="H13">
        <v>0</v>
      </c>
      <c r="I13">
        <v>-65.002760999999992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-9.5603593500000006</v>
      </c>
      <c r="T13">
        <v>46.358906400000016</v>
      </c>
      <c r="U13">
        <v>0</v>
      </c>
      <c r="V13">
        <v>0</v>
      </c>
      <c r="W13">
        <v>0</v>
      </c>
      <c r="X13">
        <v>0</v>
      </c>
      <c r="Y13">
        <v>0</v>
      </c>
      <c r="Z13">
        <v>-65.495114549999983</v>
      </c>
    </row>
    <row r="14" spans="1:26" x14ac:dyDescent="0.25">
      <c r="A14" t="s">
        <v>35</v>
      </c>
      <c r="B14">
        <v>0</v>
      </c>
      <c r="C14">
        <v>0</v>
      </c>
      <c r="D14">
        <v>0</v>
      </c>
      <c r="E14">
        <v>0</v>
      </c>
      <c r="F14">
        <v>0</v>
      </c>
      <c r="G14">
        <v>-194.40055741153776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-235.78397980715161</v>
      </c>
      <c r="T14">
        <v>24.359725000000001</v>
      </c>
      <c r="U14">
        <v>0</v>
      </c>
      <c r="V14">
        <v>0</v>
      </c>
      <c r="W14">
        <v>0</v>
      </c>
      <c r="X14">
        <v>0</v>
      </c>
      <c r="Y14">
        <v>0</v>
      </c>
      <c r="Z14">
        <v>-405.82481221868937</v>
      </c>
    </row>
    <row r="15" spans="1:26" x14ac:dyDescent="0.25">
      <c r="A15" t="s">
        <v>36</v>
      </c>
      <c r="B15">
        <v>0</v>
      </c>
      <c r="C15">
        <v>0</v>
      </c>
      <c r="D15">
        <v>0</v>
      </c>
      <c r="E15">
        <v>0</v>
      </c>
      <c r="F15">
        <v>-12.832073040000003</v>
      </c>
      <c r="G15">
        <v>-278.38815931524169</v>
      </c>
      <c r="H15">
        <v>-137.34457397833336</v>
      </c>
      <c r="I15">
        <v>-165.58991914666669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10.195286878205337</v>
      </c>
      <c r="S15">
        <v>21.20801775617144</v>
      </c>
      <c r="T15">
        <v>36.443188668430935</v>
      </c>
      <c r="U15">
        <v>-211.51253650333334</v>
      </c>
      <c r="V15">
        <v>0</v>
      </c>
      <c r="W15">
        <v>0</v>
      </c>
      <c r="X15">
        <v>0</v>
      </c>
      <c r="Y15">
        <v>0</v>
      </c>
      <c r="Z15">
        <v>-737.8207686807674</v>
      </c>
    </row>
    <row r="16" spans="1:26" x14ac:dyDescent="0.25">
      <c r="A16" t="s">
        <v>37</v>
      </c>
      <c r="B16">
        <v>0</v>
      </c>
      <c r="C16">
        <v>0</v>
      </c>
      <c r="D16">
        <v>0</v>
      </c>
      <c r="E16">
        <v>0</v>
      </c>
      <c r="F16">
        <v>-85.452953942462514</v>
      </c>
      <c r="G16">
        <v>0</v>
      </c>
      <c r="H16">
        <v>-412.60731742259378</v>
      </c>
      <c r="I16">
        <v>-40.435996125659962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-132.8317378319216</v>
      </c>
      <c r="S16">
        <v>0</v>
      </c>
      <c r="T16">
        <v>-351.7300455907872</v>
      </c>
      <c r="U16">
        <v>-34.410489627678935</v>
      </c>
      <c r="V16">
        <v>0</v>
      </c>
      <c r="W16">
        <v>0</v>
      </c>
      <c r="X16">
        <v>0</v>
      </c>
      <c r="Y16">
        <v>0</v>
      </c>
      <c r="Z16">
        <v>-1057.4685405411039</v>
      </c>
    </row>
    <row r="17" spans="1:26" x14ac:dyDescent="0.25">
      <c r="A17" t="s">
        <v>38</v>
      </c>
      <c r="B17">
        <v>0</v>
      </c>
      <c r="C17">
        <v>0</v>
      </c>
      <c r="D17">
        <v>0</v>
      </c>
      <c r="E17">
        <v>0</v>
      </c>
      <c r="F17">
        <v>0</v>
      </c>
      <c r="G17">
        <v>-102.62760908333333</v>
      </c>
      <c r="H17">
        <v>2.8819824010174244</v>
      </c>
      <c r="I17">
        <v>-142.7330168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-264.53351504733189</v>
      </c>
      <c r="T17">
        <v>-271.7898560626362</v>
      </c>
      <c r="U17">
        <v>-338.74787893333337</v>
      </c>
      <c r="V17">
        <v>0</v>
      </c>
      <c r="W17">
        <v>0</v>
      </c>
      <c r="X17">
        <v>0</v>
      </c>
      <c r="Y17">
        <v>0</v>
      </c>
      <c r="Z17">
        <v>-1117.5498935256173</v>
      </c>
    </row>
    <row r="18" spans="1:26" x14ac:dyDescent="0.25">
      <c r="A18" t="s">
        <v>29</v>
      </c>
      <c r="B18">
        <v>-1.1641532182693482E-13</v>
      </c>
      <c r="C18">
        <v>2.2737367544323211E-13</v>
      </c>
      <c r="D18">
        <v>-2.068769936671333E-2</v>
      </c>
      <c r="E18">
        <v>-77.909875813914667</v>
      </c>
      <c r="F18">
        <v>-429.76626663788352</v>
      </c>
      <c r="G18">
        <v>-619.04489645739523</v>
      </c>
      <c r="H18">
        <v>-627.92687055257363</v>
      </c>
      <c r="I18">
        <v>-483.31290091435307</v>
      </c>
      <c r="J18">
        <v>-152.64766530857878</v>
      </c>
      <c r="K18">
        <v>-0.20000867747446316</v>
      </c>
      <c r="L18">
        <v>-2.7556015555710474E-2</v>
      </c>
      <c r="M18">
        <v>-5.8207660913467408E-14</v>
      </c>
      <c r="N18">
        <v>5.2386894822120673E-13</v>
      </c>
      <c r="O18">
        <v>3.7834979593753813E-13</v>
      </c>
      <c r="P18">
        <v>-0.25934922861788984</v>
      </c>
      <c r="Q18">
        <v>-98.423158444234289</v>
      </c>
      <c r="R18">
        <v>-434.94060176790833</v>
      </c>
      <c r="S18">
        <v>-607.67189887981772</v>
      </c>
      <c r="T18">
        <v>-591.34509521871416</v>
      </c>
      <c r="U18">
        <v>-464.99331403645726</v>
      </c>
      <c r="V18">
        <v>-182.47544216496075</v>
      </c>
      <c r="W18">
        <v>-5.1455122500499364</v>
      </c>
      <c r="X18">
        <v>1.582520781084895E-13</v>
      </c>
      <c r="Y18">
        <v>1.4551915228366865E-14</v>
      </c>
      <c r="Z18">
        <v>-4776.1111000678547</v>
      </c>
    </row>
    <row r="19" spans="1:26" x14ac:dyDescent="0.25">
      <c r="A19" t="s">
        <v>43</v>
      </c>
      <c r="B19">
        <f>B9</f>
        <v>0</v>
      </c>
      <c r="C19">
        <f t="shared" ref="C19:Z19" si="0">C9</f>
        <v>0</v>
      </c>
      <c r="D19">
        <f>D9</f>
        <v>-1.6397113929815532E-4</v>
      </c>
      <c r="E19">
        <f t="shared" si="0"/>
        <v>-0.61751531059259834</v>
      </c>
      <c r="F19">
        <f t="shared" si="0"/>
        <v>-37.426336447756334</v>
      </c>
      <c r="G19">
        <f t="shared" si="0"/>
        <v>-4.9065628396030316</v>
      </c>
      <c r="H19">
        <f t="shared" si="0"/>
        <v>-4.9769615526642701</v>
      </c>
      <c r="I19">
        <f t="shared" si="0"/>
        <v>-3.8307481946752762</v>
      </c>
      <c r="J19">
        <f t="shared" si="0"/>
        <v>-1.2098885984544776</v>
      </c>
      <c r="K19">
        <f t="shared" si="0"/>
        <v>-1.585272974720283E-3</v>
      </c>
      <c r="L19">
        <f t="shared" si="0"/>
        <v>-2.184095575430547E-4</v>
      </c>
      <c r="M19">
        <f t="shared" si="0"/>
        <v>0</v>
      </c>
      <c r="N19">
        <f t="shared" si="0"/>
        <v>0</v>
      </c>
      <c r="O19">
        <f t="shared" si="0"/>
        <v>0</v>
      </c>
      <c r="P19">
        <f t="shared" si="0"/>
        <v>-2.0556074283176714E-3</v>
      </c>
      <c r="Q19">
        <f t="shared" si="0"/>
        <v>-0.78010401917928718</v>
      </c>
      <c r="R19">
        <f t="shared" si="0"/>
        <v>-3.4473483365771935</v>
      </c>
      <c r="S19">
        <f t="shared" si="0"/>
        <v>-4.8164202221477099</v>
      </c>
      <c r="T19">
        <f t="shared" si="0"/>
        <v>-4.6870136337217243</v>
      </c>
      <c r="U19">
        <f t="shared" si="0"/>
        <v>-3.6855467646556663</v>
      </c>
      <c r="V19">
        <f t="shared" si="0"/>
        <v>-1.4463041837359669</v>
      </c>
      <c r="W19">
        <f t="shared" si="0"/>
        <v>-4.0783438069345722E-2</v>
      </c>
      <c r="X19">
        <f t="shared" si="0"/>
        <v>0</v>
      </c>
      <c r="Y19">
        <f t="shared" si="0"/>
        <v>0</v>
      </c>
      <c r="Z19">
        <f t="shared" si="0"/>
        <v>-71.875556802932763</v>
      </c>
    </row>
    <row r="20" spans="1:26" x14ac:dyDescent="0.25">
      <c r="A20" t="s">
        <v>44</v>
      </c>
      <c r="B20">
        <f>B10</f>
        <v>-5.2386894822120673E-13</v>
      </c>
      <c r="C20">
        <f t="shared" ref="C20:Z20" si="1">C10</f>
        <v>-1.7462298274040223E-13</v>
      </c>
      <c r="D20">
        <f t="shared" si="1"/>
        <v>-8.0270752997603275E-3</v>
      </c>
      <c r="E20">
        <f t="shared" si="1"/>
        <v>-77.292360503321888</v>
      </c>
      <c r="F20">
        <f t="shared" si="1"/>
        <v>-248.25760253266512</v>
      </c>
      <c r="G20">
        <f t="shared" si="1"/>
        <v>0</v>
      </c>
      <c r="H20">
        <f t="shared" si="1"/>
        <v>0</v>
      </c>
      <c r="I20">
        <f t="shared" si="1"/>
        <v>0</v>
      </c>
      <c r="J20">
        <f t="shared" si="1"/>
        <v>-151.4377767101243</v>
      </c>
      <c r="K20">
        <f t="shared" si="1"/>
        <v>-0.19842340449939366</v>
      </c>
      <c r="L20">
        <f t="shared" si="1"/>
        <v>-2.7337605998109211E-2</v>
      </c>
      <c r="M20">
        <f t="shared" si="1"/>
        <v>2.3283064365386963E-13</v>
      </c>
      <c r="N20">
        <f t="shared" si="1"/>
        <v>1.1641532182693487E-13</v>
      </c>
      <c r="O20">
        <f t="shared" si="1"/>
        <v>8.7311491370201087E-14</v>
      </c>
      <c r="P20">
        <f t="shared" si="1"/>
        <v>-0.25729362118997962</v>
      </c>
      <c r="Q20">
        <f t="shared" si="1"/>
        <v>-97.64305442505534</v>
      </c>
      <c r="R20">
        <f t="shared" si="1"/>
        <v>-202.50436747252317</v>
      </c>
      <c r="S20">
        <f t="shared" si="1"/>
        <v>0</v>
      </c>
      <c r="T20">
        <f t="shared" si="1"/>
        <v>0</v>
      </c>
      <c r="U20">
        <f t="shared" si="1"/>
        <v>0</v>
      </c>
      <c r="V20">
        <f t="shared" si="1"/>
        <v>-181.02913798122455</v>
      </c>
      <c r="W20">
        <f t="shared" si="1"/>
        <v>-5.1047288119804701</v>
      </c>
      <c r="X20">
        <f t="shared" si="1"/>
        <v>1.0004441719502209E-13</v>
      </c>
      <c r="Y20">
        <f t="shared" si="1"/>
        <v>-2.7648638933897013E-13</v>
      </c>
      <c r="Z20">
        <f t="shared" si="1"/>
        <v>-963.76011014388257</v>
      </c>
    </row>
    <row r="21" spans="1:26" x14ac:dyDescent="0.25">
      <c r="A21" t="s">
        <v>45</v>
      </c>
      <c r="B21">
        <f>SUM(B11:B12)</f>
        <v>0</v>
      </c>
      <c r="C21">
        <f t="shared" ref="C21:Z21" si="2">SUM(C11:C12)</f>
        <v>0</v>
      </c>
      <c r="D21">
        <f t="shared" si="2"/>
        <v>0</v>
      </c>
      <c r="E21">
        <f t="shared" si="2"/>
        <v>0</v>
      </c>
      <c r="F21">
        <f t="shared" si="2"/>
        <v>0</v>
      </c>
      <c r="G21">
        <f t="shared" si="2"/>
        <v>-1.4311072076793303</v>
      </c>
      <c r="H21">
        <f t="shared" si="2"/>
        <v>-75.879999999999981</v>
      </c>
      <c r="I21">
        <f t="shared" si="2"/>
        <v>-65.720459647351191</v>
      </c>
      <c r="J21">
        <f t="shared" si="2"/>
        <v>0</v>
      </c>
      <c r="K21">
        <f t="shared" si="2"/>
        <v>0</v>
      </c>
      <c r="L21">
        <f t="shared" si="2"/>
        <v>0</v>
      </c>
      <c r="M21">
        <f t="shared" si="2"/>
        <v>0</v>
      </c>
      <c r="N21">
        <f t="shared" si="2"/>
        <v>0</v>
      </c>
      <c r="O21">
        <f t="shared" si="2"/>
        <v>0</v>
      </c>
      <c r="P21">
        <f t="shared" si="2"/>
        <v>0</v>
      </c>
      <c r="Q21">
        <f t="shared" si="2"/>
        <v>0</v>
      </c>
      <c r="R21">
        <f t="shared" si="2"/>
        <v>-90.349338885091711</v>
      </c>
      <c r="S21">
        <f t="shared" si="2"/>
        <v>-114.18564220935775</v>
      </c>
      <c r="T21">
        <f t="shared" si="2"/>
        <v>-70.3</v>
      </c>
      <c r="U21">
        <f t="shared" si="2"/>
        <v>123.36313779254411</v>
      </c>
      <c r="V21">
        <f t="shared" si="2"/>
        <v>0</v>
      </c>
      <c r="W21">
        <f t="shared" si="2"/>
        <v>0</v>
      </c>
      <c r="X21">
        <f t="shared" si="2"/>
        <v>0</v>
      </c>
      <c r="Y21">
        <f t="shared" si="2"/>
        <v>0</v>
      </c>
      <c r="Z21">
        <f t="shared" si="2"/>
        <v>-294.5034101569359</v>
      </c>
    </row>
    <row r="22" spans="1:26" x14ac:dyDescent="0.25">
      <c r="A22" t="s">
        <v>46</v>
      </c>
      <c r="B22">
        <f>SUM(B13:B14)</f>
        <v>0</v>
      </c>
      <c r="C22">
        <f t="shared" ref="C22:Z22" si="3">SUM(C13:C14)</f>
        <v>0</v>
      </c>
      <c r="D22">
        <f t="shared" si="3"/>
        <v>0</v>
      </c>
      <c r="E22">
        <f t="shared" si="3"/>
        <v>0</v>
      </c>
      <c r="F22">
        <f t="shared" si="3"/>
        <v>0</v>
      </c>
      <c r="G22">
        <f t="shared" si="3"/>
        <v>-231.69145801153778</v>
      </c>
      <c r="H22">
        <f t="shared" si="3"/>
        <v>0</v>
      </c>
      <c r="I22">
        <f t="shared" si="3"/>
        <v>-65.002760999999992</v>
      </c>
      <c r="J22">
        <f t="shared" si="3"/>
        <v>0</v>
      </c>
      <c r="K22">
        <f t="shared" si="3"/>
        <v>0</v>
      </c>
      <c r="L22">
        <f t="shared" si="3"/>
        <v>0</v>
      </c>
      <c r="M22">
        <f t="shared" si="3"/>
        <v>0</v>
      </c>
      <c r="N22">
        <f t="shared" si="3"/>
        <v>0</v>
      </c>
      <c r="O22">
        <f t="shared" si="3"/>
        <v>0</v>
      </c>
      <c r="P22">
        <f t="shared" si="3"/>
        <v>0</v>
      </c>
      <c r="Q22">
        <f t="shared" si="3"/>
        <v>0</v>
      </c>
      <c r="R22">
        <f t="shared" si="3"/>
        <v>0</v>
      </c>
      <c r="S22">
        <f t="shared" si="3"/>
        <v>-245.34433915715161</v>
      </c>
      <c r="T22">
        <f>SUM(T13:T14)</f>
        <v>70.718631400000021</v>
      </c>
      <c r="U22">
        <f t="shared" si="3"/>
        <v>0</v>
      </c>
      <c r="V22">
        <f t="shared" si="3"/>
        <v>0</v>
      </c>
      <c r="W22">
        <f t="shared" si="3"/>
        <v>0</v>
      </c>
      <c r="X22">
        <f t="shared" si="3"/>
        <v>0</v>
      </c>
      <c r="Y22">
        <f t="shared" si="3"/>
        <v>0</v>
      </c>
      <c r="Z22">
        <f t="shared" si="3"/>
        <v>-471.31992676868936</v>
      </c>
    </row>
    <row r="23" spans="1:26" x14ac:dyDescent="0.25">
      <c r="A23" t="s">
        <v>47</v>
      </c>
      <c r="B23">
        <f>SUM(B15:B17)</f>
        <v>0</v>
      </c>
      <c r="C23">
        <f t="shared" ref="C23:Z23" si="4">SUM(C15:C17)</f>
        <v>0</v>
      </c>
      <c r="D23">
        <f t="shared" si="4"/>
        <v>0</v>
      </c>
      <c r="E23">
        <f t="shared" si="4"/>
        <v>0</v>
      </c>
      <c r="F23">
        <f t="shared" si="4"/>
        <v>-98.285026982462512</v>
      </c>
      <c r="G23">
        <f t="shared" si="4"/>
        <v>-381.01576839857501</v>
      </c>
      <c r="H23">
        <f t="shared" si="4"/>
        <v>-547.06990899990967</v>
      </c>
      <c r="I23">
        <f t="shared" si="4"/>
        <v>-348.75893207232662</v>
      </c>
      <c r="J23">
        <f t="shared" si="4"/>
        <v>0</v>
      </c>
      <c r="K23">
        <f t="shared" si="4"/>
        <v>0</v>
      </c>
      <c r="L23">
        <f t="shared" si="4"/>
        <v>0</v>
      </c>
      <c r="M23">
        <f t="shared" si="4"/>
        <v>0</v>
      </c>
      <c r="N23">
        <f t="shared" si="4"/>
        <v>0</v>
      </c>
      <c r="O23">
        <f t="shared" si="4"/>
        <v>0</v>
      </c>
      <c r="P23">
        <f t="shared" si="4"/>
        <v>0</v>
      </c>
      <c r="Q23">
        <f t="shared" si="4"/>
        <v>0</v>
      </c>
      <c r="R23">
        <f t="shared" si="4"/>
        <v>-122.63645095371626</v>
      </c>
      <c r="S23">
        <f t="shared" si="4"/>
        <v>-243.32549729116045</v>
      </c>
      <c r="T23">
        <f t="shared" si="4"/>
        <v>-587.07671298499247</v>
      </c>
      <c r="U23">
        <f t="shared" si="4"/>
        <v>-584.67090506434567</v>
      </c>
      <c r="V23">
        <f t="shared" si="4"/>
        <v>0</v>
      </c>
      <c r="W23">
        <f t="shared" si="4"/>
        <v>0</v>
      </c>
      <c r="X23">
        <f t="shared" si="4"/>
        <v>0</v>
      </c>
      <c r="Y23">
        <f t="shared" si="4"/>
        <v>0</v>
      </c>
      <c r="Z23">
        <f t="shared" si="4"/>
        <v>-2912.8392027474888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2030</vt:lpstr>
      <vt:lpstr>2040</vt:lpstr>
      <vt:lpstr>2050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</dc:creator>
  <cp:lastModifiedBy>Emilio</cp:lastModifiedBy>
  <dcterms:created xsi:type="dcterms:W3CDTF">2025-12-02T19:53:34Z</dcterms:created>
  <dcterms:modified xsi:type="dcterms:W3CDTF">2025-12-12T13:46:40Z</dcterms:modified>
</cp:coreProperties>
</file>