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<sst xmlns="http://schemas.openxmlformats.org/spreadsheetml/2006/main" count="142" uniqueCount="53">
  <si>
    <t xml:space="preserve">Power Generation</t>
  </si>
  <si>
    <t xml:space="preserve">Scenario: Tendencial Generacion Distribuida Differences vs. Tendencial Base ESO Transmision, 2030, All Regions</t>
  </si>
  <si>
    <t xml:space="preserve">Branch: Transformation\Centrales Eléctricas\Processes</t>
  </si>
  <si>
    <t xml:space="preserve">Units: Megawatts</t>
  </si>
  <si>
    <t xml:space="preserve">Branch</t>
  </si>
  <si>
    <t xml:space="preserve">Dry: Hr 1-2</t>
  </si>
  <si>
    <t xml:space="preserve">Dry: Hr 3-4</t>
  </si>
  <si>
    <t xml:space="preserve">Dry: Hr 5-6</t>
  </si>
  <si>
    <t xml:space="preserve">Dry: Hr 7-8</t>
  </si>
  <si>
    <t xml:space="preserve">Dry: Hr 9-10</t>
  </si>
  <si>
    <t xml:space="preserve">Dry: Hr 11-12</t>
  </si>
  <si>
    <t xml:space="preserve">Dry: Hr 13-14</t>
  </si>
  <si>
    <t xml:space="preserve">Dry: Hr 15-16</t>
  </si>
  <si>
    <t xml:space="preserve">Dry: Hr 17-18</t>
  </si>
  <si>
    <t xml:space="preserve">Dry: Hr 19-20</t>
  </si>
  <si>
    <t xml:space="preserve">Dry: Hr 21-22</t>
  </si>
  <si>
    <t xml:space="preserve">Dry: Hr 23-24</t>
  </si>
  <si>
    <t xml:space="preserve">Wet: Hr 1-2</t>
  </si>
  <si>
    <t xml:space="preserve">Wet: Hr 3-4</t>
  </si>
  <si>
    <t xml:space="preserve">Wet: Hr 5-6</t>
  </si>
  <si>
    <t xml:space="preserve">Wet: Hr 7-8</t>
  </si>
  <si>
    <t xml:space="preserve">Wet: Hr 9-10</t>
  </si>
  <si>
    <t xml:space="preserve">Wet: Hr 11-12</t>
  </si>
  <si>
    <t xml:space="preserve">Wet: Hr 13-14</t>
  </si>
  <si>
    <t xml:space="preserve">Wet: Hr 15-16</t>
  </si>
  <si>
    <t xml:space="preserve">Wet: Hr 17-18</t>
  </si>
  <si>
    <t xml:space="preserve">Wet: Hr 19-20</t>
  </si>
  <si>
    <t xml:space="preserve">Wet: Hr 21-22</t>
  </si>
  <si>
    <t xml:space="preserve">Wet: Hr 23-24</t>
  </si>
  <si>
    <t xml:space="preserve">Total</t>
  </si>
  <si>
    <t xml:space="preserve">TG_ex</t>
  </si>
  <si>
    <t xml:space="preserve">Motor Dual_ex</t>
  </si>
  <si>
    <t xml:space="preserve">CC_ex</t>
  </si>
  <si>
    <t xml:space="preserve">Solar_ex</t>
  </si>
  <si>
    <t xml:space="preserve">Solar_nv</t>
  </si>
  <si>
    <t xml:space="preserve">Eolica_ex</t>
  </si>
  <si>
    <t xml:space="preserve">Hidroelectrica_ex</t>
  </si>
  <si>
    <t xml:space="preserve">Hidro Otras</t>
  </si>
  <si>
    <t xml:space="preserve">Hora</t>
  </si>
  <si>
    <t xml:space="preserve">TG</t>
  </si>
  <si>
    <t xml:space="preserve">Motor</t>
  </si>
  <si>
    <t xml:space="preserve">CC</t>
  </si>
  <si>
    <t xml:space="preserve">Solar</t>
  </si>
  <si>
    <t xml:space="preserve">Eolica</t>
  </si>
  <si>
    <t xml:space="preserve">Hidro</t>
  </si>
  <si>
    <t xml:space="preserve">Tgn</t>
  </si>
  <si>
    <t xml:space="preserve">Motorn</t>
  </si>
  <si>
    <t xml:space="preserve">Ccn</t>
  </si>
  <si>
    <t xml:space="preserve">Fosil</t>
  </si>
  <si>
    <t xml:space="preserve">Fosiln</t>
  </si>
  <si>
    <t xml:space="preserve">Solarn</t>
  </si>
  <si>
    <t xml:space="preserve">Eolican</t>
  </si>
  <si>
    <t xml:space="preserve">Hidron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</si>
</sst>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_ * #,##0.000_ ;_ * \-#,##0.000_ ;_ * \-??_ ;_ @_ "/>
    <numFmt numFmtId="167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E2EDFA"/>
      </patternFill>
    </fill>
    <fill>
      <patternFill patternType="solid">
        <fgColor rgb="FFE2EDFA"/>
        <bgColor rgb="FFDCDC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DFA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Z16" activeCellId="1" sqref="F30:N54 Z16"/>
    </sheetView>
  </sheetViews>
  <sheetFormatPr defaultColWidth="10.7421875" defaultRowHeight="15" zeroHeight="false" outlineLevelRow="0" outlineLevelCol="0"/>
  <cols>
    <col collapsed="false" customWidth="true" hidden="false" outlineLevel="0" max="1" min="1" style="0" width="21.82"/>
    <col collapsed="false" customWidth="true" hidden="false" outlineLevel="0" max="5" min="2" style="0" width="10.12"/>
    <col collapsed="false" customWidth="true" hidden="false" outlineLevel="0" max="6" min="6" style="0" width="11.14"/>
    <col collapsed="false" customWidth="true" hidden="false" outlineLevel="0" max="13" min="7" style="0" width="12.14"/>
    <col collapsed="false" customWidth="true" hidden="false" outlineLevel="0" max="17" min="14" style="0" width="10.85"/>
    <col collapsed="false" customWidth="true" hidden="false" outlineLevel="0" max="18" min="18" style="0" width="11.86"/>
    <col collapsed="false" customWidth="true" hidden="false" outlineLevel="0" max="25" min="19" style="0" width="12.8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/>
    </row>
    <row r="6" customFormat="false" ht="15" hidden="false" customHeight="false" outlineLevel="0" collapsed="false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  <c r="W6" s="2" t="s">
        <v>26</v>
      </c>
      <c r="X6" s="2" t="s">
        <v>27</v>
      </c>
      <c r="Y6" s="2" t="s">
        <v>28</v>
      </c>
      <c r="Z6" s="2" t="s">
        <v>29</v>
      </c>
    </row>
    <row r="7" customFormat="false" ht="15" hidden="false" customHeight="false" outlineLevel="0" collapsed="false">
      <c r="A7" s="0" t="s">
        <v>30</v>
      </c>
      <c r="B7" s="3" t="n">
        <v>0</v>
      </c>
      <c r="C7" s="3" t="n">
        <v>0.0001170427080433</v>
      </c>
      <c r="D7" s="3" t="n">
        <v>-0.00156212696657167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-0.00144508425852837</v>
      </c>
    </row>
    <row r="8" customFormat="false" ht="15" hidden="false" customHeight="false" outlineLevel="0" collapsed="false">
      <c r="A8" s="0" t="s">
        <v>31</v>
      </c>
      <c r="B8" s="3" t="n">
        <v>0</v>
      </c>
      <c r="C8" s="3" t="n">
        <v>0</v>
      </c>
      <c r="D8" s="3" t="n">
        <v>-4.76936990216927E-005</v>
      </c>
      <c r="E8" s="3" t="n">
        <v>-0.179614470547502</v>
      </c>
      <c r="F8" s="3" t="n">
        <v>-0.99078890365209</v>
      </c>
      <c r="G8" s="3" t="n">
        <v>-1.4271543903869</v>
      </c>
      <c r="H8" s="3" t="n">
        <v>-1.44763101235371</v>
      </c>
      <c r="I8" s="3" t="n">
        <v>-1.11423603105017</v>
      </c>
      <c r="J8" s="3" t="n">
        <v>-0.351915970835311</v>
      </c>
      <c r="K8" s="3" t="n">
        <v>-0.000461102682220371</v>
      </c>
      <c r="L8" s="3" t="n">
        <v>-6.35280071110174E-005</v>
      </c>
      <c r="M8" s="3" t="n">
        <v>9.09494701772928E-015</v>
      </c>
      <c r="N8" s="3" t="n">
        <v>0</v>
      </c>
      <c r="O8" s="3" t="n">
        <v>0</v>
      </c>
      <c r="P8" s="3" t="n">
        <v>-0.000597907183120697</v>
      </c>
      <c r="Q8" s="3" t="n">
        <v>-0.226906066899624</v>
      </c>
      <c r="R8" s="3" t="n">
        <v>-1.00271788512082</v>
      </c>
      <c r="S8" s="3" t="n">
        <v>-1.40093492954072</v>
      </c>
      <c r="T8" s="3" t="n">
        <v>-1.36329489784145</v>
      </c>
      <c r="U8" s="3" t="n">
        <v>-1.07200181024893</v>
      </c>
      <c r="V8" s="3" t="n">
        <v>-0.420681326853386</v>
      </c>
      <c r="W8" s="3" t="n">
        <v>-0.0118625328154267</v>
      </c>
      <c r="X8" s="3" t="n">
        <v>0</v>
      </c>
      <c r="Y8" s="3" t="n">
        <v>0</v>
      </c>
      <c r="Z8" s="3" t="n">
        <v>-11.0109104597175</v>
      </c>
    </row>
    <row r="9" customFormat="false" ht="15" hidden="false" customHeight="false" outlineLevel="0" collapsed="false">
      <c r="A9" s="0" t="s">
        <v>32</v>
      </c>
      <c r="B9" s="3" t="n">
        <v>-0.00011704270800692</v>
      </c>
      <c r="C9" s="3" t="n">
        <v>-0.000117042708152439</v>
      </c>
      <c r="D9" s="3" t="n">
        <v>-0.00440753648296231</v>
      </c>
      <c r="E9" s="3" t="n">
        <v>-22.4817525509589</v>
      </c>
      <c r="F9" s="3" t="n">
        <v>-63.4416593061372</v>
      </c>
      <c r="G9" s="3" t="n">
        <v>-91.3827781866</v>
      </c>
      <c r="H9" s="3" t="n">
        <v>-92.6939261715745</v>
      </c>
      <c r="I9" s="3" t="n">
        <v>-71.3461590132311</v>
      </c>
      <c r="J9" s="3" t="n">
        <v>-22.5336931447532</v>
      </c>
      <c r="K9" s="3" t="n">
        <v>-0.0295250776053581</v>
      </c>
      <c r="L9" s="3" t="n">
        <v>-0.00406779099852429</v>
      </c>
      <c r="M9" s="3" t="n">
        <v>-1.20053300634027E-013</v>
      </c>
      <c r="N9" s="3" t="n">
        <v>0</v>
      </c>
      <c r="O9" s="3" t="n">
        <v>-1.16415321826935E-013</v>
      </c>
      <c r="P9" s="3" t="n">
        <v>-0.0382848694297136</v>
      </c>
      <c r="Q9" s="3" t="n">
        <v>-14.5291265754794</v>
      </c>
      <c r="R9" s="3" t="n">
        <v>-64.2054893969044</v>
      </c>
      <c r="S9" s="3" t="n">
        <v>-89.7039078479602</v>
      </c>
      <c r="T9" s="3" t="n">
        <v>-87.2937616921694</v>
      </c>
      <c r="U9" s="3" t="n">
        <v>-68.6418402251867</v>
      </c>
      <c r="V9" s="3" t="n">
        <v>-26.936839236199</v>
      </c>
      <c r="W9" s="3" t="n">
        <v>-0.759575286532199</v>
      </c>
      <c r="X9" s="3" t="n">
        <v>0</v>
      </c>
      <c r="Y9" s="3" t="n">
        <v>0</v>
      </c>
      <c r="Z9" s="3" t="n">
        <v>-716.027027993619</v>
      </c>
    </row>
    <row r="10" customFormat="false" ht="15" hidden="false" customHeight="false" outlineLevel="0" collapsed="false">
      <c r="A10" s="0" t="s">
        <v>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58.41</v>
      </c>
      <c r="J10" s="3" t="n">
        <v>-18.45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-21.9525841300541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18.0074158699459</v>
      </c>
    </row>
    <row r="11" customFormat="false" ht="15" hidden="false" customHeight="false" outlineLevel="0" collapsed="false">
      <c r="A11" s="0" t="s">
        <v>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-33.9250813405539</v>
      </c>
      <c r="H11" s="3" t="n">
        <v>22.2700366763001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-45.4971228461346</v>
      </c>
      <c r="T11" s="3" t="n">
        <v>-199.065316647012</v>
      </c>
      <c r="U11" s="3" t="n">
        <v>0</v>
      </c>
      <c r="V11" s="3" t="n">
        <v>-16.9182</v>
      </c>
      <c r="W11" s="3" t="n">
        <v>0.732</v>
      </c>
      <c r="X11" s="3" t="n">
        <v>0</v>
      </c>
      <c r="Y11" s="3" t="n">
        <v>0</v>
      </c>
      <c r="Z11" s="3" t="n">
        <v>-272.4036841574</v>
      </c>
    </row>
    <row r="12" customFormat="false" ht="15" hidden="false" customHeight="false" outlineLevel="0" collapsed="false">
      <c r="A12" s="0" t="s">
        <v>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8.419203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-13.33543185</v>
      </c>
      <c r="M12" s="3" t="n">
        <v>0</v>
      </c>
      <c r="N12" s="3" t="n">
        <v>-7.9850106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11.5897266</v>
      </c>
      <c r="U12" s="3" t="n">
        <v>-12.9350691</v>
      </c>
      <c r="V12" s="3" t="n">
        <v>0</v>
      </c>
      <c r="W12" s="3" t="n">
        <v>-12.081843</v>
      </c>
      <c r="X12" s="3" t="n">
        <v>10.8095706</v>
      </c>
      <c r="Y12" s="3" t="n">
        <v>9.25891965</v>
      </c>
      <c r="Z12" s="3" t="n">
        <v>-6.25993470000001</v>
      </c>
    </row>
    <row r="13" customFormat="false" ht="15" hidden="false" customHeight="false" outlineLevel="0" collapsed="false">
      <c r="A13" s="0" t="s">
        <v>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-144.594027913885</v>
      </c>
      <c r="G13" s="3" t="n">
        <v>-53.3243618016254</v>
      </c>
      <c r="H13" s="3" t="n">
        <v>-137.344573978333</v>
      </c>
      <c r="I13" s="3" t="n">
        <v>16.2039163768682</v>
      </c>
      <c r="J13" s="3" t="n">
        <v>-3.06447152111973</v>
      </c>
      <c r="K13" s="3" t="n">
        <v>50.7672994179185</v>
      </c>
      <c r="L13" s="3" t="n">
        <v>-66.5267843033078</v>
      </c>
      <c r="M13" s="3" t="n">
        <v>0</v>
      </c>
      <c r="N13" s="3" t="n">
        <v>92.6256136016227</v>
      </c>
      <c r="O13" s="3" t="n">
        <v>69.0295913766422</v>
      </c>
      <c r="P13" s="3" t="n">
        <v>-0.0365532062465661</v>
      </c>
      <c r="Q13" s="3" t="n">
        <v>126.853722502835</v>
      </c>
      <c r="R13" s="3" t="n">
        <v>-39.3488263513843</v>
      </c>
      <c r="S13" s="3" t="n">
        <v>0</v>
      </c>
      <c r="T13" s="3" t="n">
        <v>173.921382490293</v>
      </c>
      <c r="U13" s="3" t="n">
        <v>-391.349910529405</v>
      </c>
      <c r="V13" s="3" t="n">
        <v>121.211736691181</v>
      </c>
      <c r="W13" s="3" t="n">
        <v>10.6246240682761</v>
      </c>
      <c r="X13" s="3" t="n">
        <v>221.921734</v>
      </c>
      <c r="Y13" s="3" t="n">
        <v>-9.25891964999985</v>
      </c>
      <c r="Z13" s="3" t="n">
        <v>38.3111912703303</v>
      </c>
    </row>
    <row r="14" customFormat="false" ht="15" hidden="false" customHeight="false" outlineLevel="0" collapsed="false">
      <c r="A14" s="0" t="s">
        <v>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75.6026957193276</v>
      </c>
      <c r="G14" s="3" t="n">
        <v>0</v>
      </c>
      <c r="H14" s="3" t="n">
        <v>26.5732507180578</v>
      </c>
      <c r="I14" s="3" t="n">
        <v>-142.7330168</v>
      </c>
      <c r="J14" s="3" t="n">
        <v>0</v>
      </c>
      <c r="K14" s="3" t="n">
        <v>-50.7954890465433</v>
      </c>
      <c r="L14" s="3" t="n">
        <v>79.8583323525913</v>
      </c>
      <c r="M14" s="3" t="n">
        <v>0</v>
      </c>
      <c r="N14" s="3" t="n">
        <v>-84.6406030016227</v>
      </c>
      <c r="O14" s="3" t="n">
        <v>-69.029591376642</v>
      </c>
      <c r="P14" s="3" t="n">
        <v>0</v>
      </c>
      <c r="Q14" s="3" t="n">
        <v>-140.725682058106</v>
      </c>
      <c r="R14" s="3" t="n">
        <v>0</v>
      </c>
      <c r="S14" s="3" t="n">
        <v>-40.1493869527933</v>
      </c>
      <c r="T14" s="3" t="n">
        <v>-69.7911694231273</v>
      </c>
      <c r="U14" s="3" t="n">
        <v>338.747878933333</v>
      </c>
      <c r="V14" s="3" t="n">
        <v>-130.01199557377</v>
      </c>
      <c r="W14" s="3" t="n">
        <v>0</v>
      </c>
      <c r="X14" s="3" t="n">
        <v>-232.7313046</v>
      </c>
      <c r="Y14" s="3" t="n">
        <v>0</v>
      </c>
      <c r="Z14" s="3" t="n">
        <v>-439.826081109295</v>
      </c>
    </row>
    <row r="15" customFormat="false" ht="15" hidden="false" customHeight="false" outlineLevel="0" collapsed="false">
      <c r="A15" s="2" t="s">
        <v>29</v>
      </c>
      <c r="B15" s="4" t="n">
        <v>-0.00011704270800692</v>
      </c>
      <c r="C15" s="4" t="n">
        <v>-1.0913936854956E-013</v>
      </c>
      <c r="D15" s="4" t="n">
        <v>-0.00601735714855568</v>
      </c>
      <c r="E15" s="4" t="n">
        <v>-22.6613670215064</v>
      </c>
      <c r="F15" s="4" t="n">
        <v>-125.004577404347</v>
      </c>
      <c r="G15" s="4" t="n">
        <v>-180.059375719166</v>
      </c>
      <c r="H15" s="4" t="n">
        <v>-182.642843767904</v>
      </c>
      <c r="I15" s="4" t="n">
        <v>-140.579495467413</v>
      </c>
      <c r="J15" s="4" t="n">
        <v>-44.4000806367082</v>
      </c>
      <c r="K15" s="4" t="n">
        <v>-0.0581758089123869</v>
      </c>
      <c r="L15" s="4" t="n">
        <v>-0.00801511972216846</v>
      </c>
      <c r="M15" s="4" t="n">
        <v>-1.10958353616297E-013</v>
      </c>
      <c r="N15" s="4" t="n">
        <v>6.30606677987089E-014</v>
      </c>
      <c r="O15" s="4" t="n">
        <v>1.14823706098832E-014</v>
      </c>
      <c r="P15" s="4" t="n">
        <v>-0.0754359828594004</v>
      </c>
      <c r="Q15" s="4" t="n">
        <v>-28.62799219765</v>
      </c>
      <c r="R15" s="4" t="n">
        <v>-126.509617763464</v>
      </c>
      <c r="S15" s="4" t="n">
        <v>-176.751352576429</v>
      </c>
      <c r="T15" s="4" t="n">
        <v>-172.002433569857</v>
      </c>
      <c r="U15" s="4" t="n">
        <v>-135.250942731507</v>
      </c>
      <c r="V15" s="4" t="n">
        <v>-53.0759794456409</v>
      </c>
      <c r="W15" s="4" t="n">
        <v>-1.49665675107154</v>
      </c>
      <c r="X15" s="4" t="n">
        <v>1.13686837721616E-013</v>
      </c>
      <c r="Y15" s="4" t="n">
        <v>1.45661260830821E-013</v>
      </c>
      <c r="Z15" s="4" t="n">
        <v>-1389.21047636401</v>
      </c>
    </row>
    <row r="16" customFormat="false" ht="13.8" hidden="false" customHeight="false" outlineLevel="0" collapsed="false">
      <c r="A16" s="0" t="s">
        <v>38</v>
      </c>
      <c r="B16" s="2" t="s">
        <v>5</v>
      </c>
      <c r="C16" s="2" t="s">
        <v>6</v>
      </c>
      <c r="D16" s="2" t="s">
        <v>7</v>
      </c>
      <c r="E16" s="2" t="s">
        <v>8</v>
      </c>
      <c r="F16" s="2" t="s">
        <v>9</v>
      </c>
      <c r="G16" s="2" t="s">
        <v>10</v>
      </c>
      <c r="H16" s="2" t="s">
        <v>11</v>
      </c>
      <c r="I16" s="2" t="s">
        <v>12</v>
      </c>
      <c r="J16" s="2" t="s">
        <v>13</v>
      </c>
      <c r="K16" s="2" t="s">
        <v>14</v>
      </c>
      <c r="L16" s="2" t="s">
        <v>15</v>
      </c>
      <c r="M16" s="2" t="s">
        <v>16</v>
      </c>
      <c r="N16" s="2" t="s">
        <v>17</v>
      </c>
      <c r="O16" s="2" t="s">
        <v>18</v>
      </c>
      <c r="P16" s="2" t="s">
        <v>19</v>
      </c>
      <c r="Q16" s="2" t="s">
        <v>20</v>
      </c>
      <c r="R16" s="2" t="s">
        <v>21</v>
      </c>
      <c r="S16" s="2" t="s">
        <v>22</v>
      </c>
      <c r="T16" s="2" t="s">
        <v>23</v>
      </c>
      <c r="U16" s="2" t="s">
        <v>24</v>
      </c>
      <c r="V16" s="2" t="s">
        <v>25</v>
      </c>
      <c r="W16" s="2" t="s">
        <v>26</v>
      </c>
      <c r="X16" s="2" t="s">
        <v>27</v>
      </c>
      <c r="Y16" s="2" t="s">
        <v>28</v>
      </c>
      <c r="Z16" s="0" t="s">
        <v>29</v>
      </c>
    </row>
    <row r="17" customFormat="false" ht="13.8" hidden="false" customHeight="false" outlineLevel="0" collapsed="false">
      <c r="A17" s="0" t="s">
        <v>39</v>
      </c>
      <c r="B17" s="0" t="n">
        <v>0</v>
      </c>
      <c r="C17" s="0" t="n">
        <v>0.0001170427080433</v>
      </c>
      <c r="D17" s="0" t="n">
        <v>-0.00156212696657167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-0.00144508425852837</v>
      </c>
    </row>
    <row r="18" customFormat="false" ht="13.8" hidden="false" customHeight="false" outlineLevel="0" collapsed="false">
      <c r="A18" s="0" t="s">
        <v>40</v>
      </c>
      <c r="B18" s="0" t="n">
        <v>0</v>
      </c>
      <c r="C18" s="0" t="n">
        <v>0</v>
      </c>
      <c r="D18" s="0" t="n">
        <v>-4.76936990216927E-005</v>
      </c>
      <c r="E18" s="0" t="n">
        <v>-0.179614470547502</v>
      </c>
      <c r="F18" s="0" t="n">
        <v>-0.99078890365209</v>
      </c>
      <c r="G18" s="0" t="n">
        <v>-1.4271543903869</v>
      </c>
      <c r="H18" s="0" t="n">
        <v>-1.44763101235371</v>
      </c>
      <c r="I18" s="0" t="n">
        <v>-1.11423603105017</v>
      </c>
      <c r="J18" s="0" t="n">
        <v>-0.351915970835311</v>
      </c>
      <c r="K18" s="0" t="n">
        <v>-0.000461102682220371</v>
      </c>
      <c r="L18" s="0" t="n">
        <v>-6.35280071110174E-005</v>
      </c>
      <c r="M18" s="0" t="n">
        <v>9.09494701772928E-015</v>
      </c>
      <c r="N18" s="0" t="n">
        <v>0</v>
      </c>
      <c r="O18" s="0" t="n">
        <v>0</v>
      </c>
      <c r="P18" s="0" t="n">
        <v>-0.000597907183120697</v>
      </c>
      <c r="Q18" s="0" t="n">
        <v>-0.226906066899624</v>
      </c>
      <c r="R18" s="0" t="n">
        <v>-1.00271788512082</v>
      </c>
      <c r="S18" s="0" t="n">
        <v>-1.40093492954072</v>
      </c>
      <c r="T18" s="0" t="n">
        <v>-1.36329489784145</v>
      </c>
      <c r="U18" s="0" t="n">
        <v>-1.07200181024893</v>
      </c>
      <c r="V18" s="0" t="n">
        <v>-0.420681326853386</v>
      </c>
      <c r="W18" s="0" t="n">
        <v>-0.0118625328154267</v>
      </c>
      <c r="X18" s="0" t="n">
        <v>0</v>
      </c>
      <c r="Y18" s="0" t="n">
        <v>0</v>
      </c>
      <c r="Z18" s="0" t="n">
        <v>-11.0109104597175</v>
      </c>
    </row>
    <row r="19" customFormat="false" ht="13.8" hidden="false" customHeight="false" outlineLevel="0" collapsed="false">
      <c r="A19" s="0" t="s">
        <v>41</v>
      </c>
      <c r="B19" s="0" t="n">
        <v>-0.00011704270800692</v>
      </c>
      <c r="C19" s="0" t="n">
        <v>-0.000117042708152439</v>
      </c>
      <c r="D19" s="0" t="n">
        <v>-0.00440753648296231</v>
      </c>
      <c r="E19" s="0" t="n">
        <v>-22.4817525509589</v>
      </c>
      <c r="F19" s="0" t="n">
        <v>-63.4416593061372</v>
      </c>
      <c r="G19" s="0" t="n">
        <v>-91.3827781866</v>
      </c>
      <c r="H19" s="0" t="n">
        <v>-92.6939261715745</v>
      </c>
      <c r="I19" s="0" t="n">
        <v>-71.3461590132311</v>
      </c>
      <c r="J19" s="0" t="n">
        <v>-22.5336931447532</v>
      </c>
      <c r="K19" s="0" t="n">
        <v>-0.0295250776053581</v>
      </c>
      <c r="L19" s="0" t="n">
        <v>-0.00406779099852429</v>
      </c>
      <c r="M19" s="0" t="n">
        <v>-1.20053300634027E-013</v>
      </c>
      <c r="N19" s="0" t="n">
        <v>0</v>
      </c>
      <c r="O19" s="0" t="n">
        <v>-1.16415321826935E-013</v>
      </c>
      <c r="P19" s="0" t="n">
        <v>-0.0382848694297136</v>
      </c>
      <c r="Q19" s="0" t="n">
        <v>-14.5291265754794</v>
      </c>
      <c r="R19" s="0" t="n">
        <v>-64.2054893969044</v>
      </c>
      <c r="S19" s="0" t="n">
        <v>-89.7039078479602</v>
      </c>
      <c r="T19" s="0" t="n">
        <v>-87.2937616921694</v>
      </c>
      <c r="U19" s="0" t="n">
        <v>-68.6418402251867</v>
      </c>
      <c r="V19" s="0" t="n">
        <v>-26.936839236199</v>
      </c>
      <c r="W19" s="0" t="n">
        <v>-0.759575286532199</v>
      </c>
      <c r="X19" s="0" t="n">
        <v>0</v>
      </c>
      <c r="Y19" s="0" t="n">
        <v>0</v>
      </c>
      <c r="Z19" s="0" t="n">
        <v>-716.027027993619</v>
      </c>
    </row>
    <row r="20" customFormat="false" ht="15" hidden="false" customHeight="false" outlineLevel="0" collapsed="false">
      <c r="A20" s="0" t="s">
        <v>42</v>
      </c>
      <c r="B20" s="0" t="n">
        <f aca="false">SUM(B10:B11)</f>
        <v>0</v>
      </c>
      <c r="C20" s="0" t="n">
        <f aca="false">SUM(C10:C11)</f>
        <v>0</v>
      </c>
      <c r="D20" s="0" t="n">
        <f aca="false">SUM(D10:D11)</f>
        <v>0</v>
      </c>
      <c r="E20" s="0" t="n">
        <f aca="false">SUM(E10:E11)</f>
        <v>0</v>
      </c>
      <c r="F20" s="0" t="n">
        <f aca="false">SUM(F10:F11)</f>
        <v>0</v>
      </c>
      <c r="G20" s="0" t="n">
        <f aca="false">SUM(G10:G11)</f>
        <v>-33.9250813405539</v>
      </c>
      <c r="H20" s="0" t="n">
        <f aca="false">SUM(H10:H11)</f>
        <v>22.2700366763001</v>
      </c>
      <c r="I20" s="0" t="n">
        <f aca="false">SUM(I10:I11)</f>
        <v>58.41</v>
      </c>
      <c r="J20" s="0" t="n">
        <f aca="false">SUM(J10:J11)</f>
        <v>-18.45</v>
      </c>
      <c r="K20" s="0" t="n">
        <f aca="false">SUM(K10:K11)</f>
        <v>0</v>
      </c>
      <c r="L20" s="0" t="n">
        <f aca="false">SUM(L10:L11)</f>
        <v>0</v>
      </c>
      <c r="M20" s="0" t="n">
        <f aca="false">SUM(M10:M11)</f>
        <v>0</v>
      </c>
      <c r="N20" s="0" t="n">
        <f aca="false">SUM(N10:N11)</f>
        <v>0</v>
      </c>
      <c r="O20" s="0" t="n">
        <f aca="false">SUM(O10:O11)</f>
        <v>0</v>
      </c>
      <c r="P20" s="0" t="n">
        <f aca="false">SUM(P10:P11)</f>
        <v>0</v>
      </c>
      <c r="Q20" s="0" t="n">
        <f aca="false">SUM(Q10:Q11)</f>
        <v>0</v>
      </c>
      <c r="R20" s="0" t="n">
        <f aca="false">SUM(R10:R11)</f>
        <v>-21.9525841300541</v>
      </c>
      <c r="S20" s="0" t="n">
        <f aca="false">SUM(S10:S11)</f>
        <v>-45.4971228461346</v>
      </c>
      <c r="T20" s="0" t="n">
        <f aca="false">SUM(T10:T11)</f>
        <v>-199.065316647012</v>
      </c>
      <c r="U20" s="0" t="n">
        <f aca="false">SUM(U10:U11)</f>
        <v>0</v>
      </c>
      <c r="V20" s="0" t="n">
        <f aca="false">SUM(V10:V11)</f>
        <v>-16.9182</v>
      </c>
      <c r="W20" s="0" t="n">
        <f aca="false">SUM(W10:W11)</f>
        <v>0.732</v>
      </c>
      <c r="X20" s="0" t="n">
        <f aca="false">SUM(X10:X11)</f>
        <v>0</v>
      </c>
      <c r="Y20" s="0" t="n">
        <f aca="false">SUM(Y10:Y11)</f>
        <v>0</v>
      </c>
      <c r="Z20" s="0" t="n">
        <f aca="false">SUM(Z10:Z11)</f>
        <v>-254.396268287454</v>
      </c>
    </row>
    <row r="21" customFormat="false" ht="13.8" hidden="false" customHeight="false" outlineLevel="0" collapsed="false">
      <c r="A21" s="0" t="s">
        <v>43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8.419203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-13.33543185</v>
      </c>
      <c r="M21" s="0" t="n">
        <v>0</v>
      </c>
      <c r="N21" s="0" t="n">
        <v>-7.9850106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11.5897266</v>
      </c>
      <c r="U21" s="0" t="n">
        <v>-12.9350691</v>
      </c>
      <c r="V21" s="0" t="n">
        <v>0</v>
      </c>
      <c r="W21" s="0" t="n">
        <v>-12.081843</v>
      </c>
      <c r="X21" s="0" t="n">
        <v>10.8095706</v>
      </c>
      <c r="Y21" s="0" t="n">
        <v>9.25891965</v>
      </c>
      <c r="Z21" s="0" t="n">
        <v>-6.25993470000001</v>
      </c>
    </row>
    <row r="22" customFormat="false" ht="15" hidden="false" customHeight="false" outlineLevel="0" collapsed="false">
      <c r="A22" s="0" t="s">
        <v>44</v>
      </c>
      <c r="B22" s="0" t="n">
        <f aca="false">SUM(B13:B14)</f>
        <v>0</v>
      </c>
      <c r="C22" s="0" t="n">
        <f aca="false">SUM(C13:C14)</f>
        <v>0</v>
      </c>
      <c r="D22" s="0" t="n">
        <f aca="false">SUM(D13:D14)</f>
        <v>0</v>
      </c>
      <c r="E22" s="0" t="n">
        <f aca="false">SUM(E13:E14)</f>
        <v>0</v>
      </c>
      <c r="F22" s="0" t="n">
        <f aca="false">SUM(F13:F14)</f>
        <v>-68.9913321945572</v>
      </c>
      <c r="G22" s="0" t="n">
        <f aca="false">SUM(G13:G14)</f>
        <v>-53.3243618016254</v>
      </c>
      <c r="H22" s="0" t="n">
        <f aca="false">SUM(H13:H14)</f>
        <v>-110.771323260276</v>
      </c>
      <c r="I22" s="0" t="n">
        <f aca="false">SUM(I13:I14)</f>
        <v>-126.529100423132</v>
      </c>
      <c r="J22" s="0" t="n">
        <f aca="false">SUM(J13:J14)</f>
        <v>-3.06447152111973</v>
      </c>
      <c r="K22" s="0" t="n">
        <f aca="false">SUM(K13:K14)</f>
        <v>-0.0281896286248084</v>
      </c>
      <c r="L22" s="0" t="n">
        <f aca="false">SUM(L13:L14)</f>
        <v>13.3315480492835</v>
      </c>
      <c r="M22" s="0" t="n">
        <f aca="false">SUM(M13:M14)</f>
        <v>0</v>
      </c>
      <c r="N22" s="0" t="n">
        <f aca="false">SUM(N13:N14)</f>
        <v>7.98501060000007</v>
      </c>
      <c r="O22" s="0" t="n">
        <f aca="false">SUM(O13:O14)</f>
        <v>0</v>
      </c>
      <c r="P22" s="0" t="n">
        <f aca="false">SUM(P13:P14)</f>
        <v>-0.0365532062465661</v>
      </c>
      <c r="Q22" s="0" t="n">
        <f aca="false">SUM(Q13:Q14)</f>
        <v>-13.8719595552709</v>
      </c>
      <c r="R22" s="0" t="n">
        <f aca="false">SUM(R13:R14)</f>
        <v>-39.3488263513843</v>
      </c>
      <c r="S22" s="0" t="n">
        <f aca="false">SUM(S13:S14)</f>
        <v>-40.1493869527933</v>
      </c>
      <c r="T22" s="0" t="n">
        <f aca="false">SUM(T13:T14)</f>
        <v>104.130213067165</v>
      </c>
      <c r="U22" s="0" t="n">
        <f aca="false">SUM(U13:U14)</f>
        <v>-52.6020315960714</v>
      </c>
      <c r="V22" s="0" t="n">
        <f aca="false">SUM(V13:V14)</f>
        <v>-8.80025888258852</v>
      </c>
      <c r="W22" s="0" t="n">
        <f aca="false">SUM(W13:W14)</f>
        <v>10.6246240682761</v>
      </c>
      <c r="X22" s="0" t="n">
        <f aca="false">SUM(X13:X14)</f>
        <v>-10.8095705999999</v>
      </c>
      <c r="Y22" s="0" t="n">
        <f aca="false">SUM(Y13:Y14)</f>
        <v>-9.25891964999985</v>
      </c>
      <c r="Z22" s="0" t="n">
        <f aca="false">SUM(Z13:Z14)</f>
        <v>-401.514889838964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O54"/>
  <sheetViews>
    <sheetView showFormulas="false" showGridLines="true" showRowColHeaders="true" showZeros="true" rightToLeft="false" tabSelected="true" showOutlineSymbols="true" defaultGridColor="true" view="normal" topLeftCell="D34" colorId="64" zoomScale="150" zoomScaleNormal="150" zoomScalePageLayoutView="100" workbookViewId="0">
      <selection pane="topLeft" activeCell="F30" activeCellId="0" sqref="F30:N54"/>
    </sheetView>
  </sheetViews>
  <sheetFormatPr defaultColWidth="11.58984375" defaultRowHeight="13.8" zeroHeight="false" outlineLevelRow="0" outlineLevelCol="0"/>
  <sheetData>
    <row r="2" customFormat="false" ht="13.8" hidden="false" customHeight="false" outlineLevel="0" collapsed="false">
      <c r="B2" s="0" t="s">
        <v>38</v>
      </c>
      <c r="C2" s="0" t="s">
        <v>39</v>
      </c>
      <c r="D2" s="0" t="s">
        <v>45</v>
      </c>
      <c r="E2" s="0" t="s">
        <v>40</v>
      </c>
      <c r="F2" s="0" t="s">
        <v>46</v>
      </c>
      <c r="G2" s="0" t="s">
        <v>47</v>
      </c>
      <c r="H2" s="0" t="s">
        <v>48</v>
      </c>
      <c r="I2" s="0" t="s">
        <v>49</v>
      </c>
      <c r="J2" s="0" t="s">
        <v>42</v>
      </c>
      <c r="K2" s="0" t="s">
        <v>50</v>
      </c>
      <c r="L2" s="0" t="s">
        <v>43</v>
      </c>
      <c r="M2" s="0" t="s">
        <v>51</v>
      </c>
      <c r="N2" s="0" t="s">
        <v>44</v>
      </c>
      <c r="O2" s="0" t="s">
        <v>52</v>
      </c>
    </row>
    <row r="3" customFormat="false" ht="13.8" hidden="false" customHeight="false" outlineLevel="0" collapsed="false">
      <c r="B3" s="0" t="s">
        <v>5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-0.00011704270800692</v>
      </c>
      <c r="H3" s="0" t="n">
        <f aca="false">C3+E3</f>
        <v>0</v>
      </c>
      <c r="I3" s="0" t="n">
        <f aca="false">D3+F3+G3</f>
        <v>-0.00011704270800692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</row>
    <row r="4" customFormat="false" ht="13.8" hidden="false" customHeight="false" outlineLevel="0" collapsed="false">
      <c r="B4" s="0" t="s">
        <v>6</v>
      </c>
      <c r="C4" s="0" t="n">
        <v>0.0001170427080433</v>
      </c>
      <c r="D4" s="0" t="n">
        <v>0</v>
      </c>
      <c r="E4" s="0" t="n">
        <v>0</v>
      </c>
      <c r="F4" s="0" t="n">
        <v>0</v>
      </c>
      <c r="G4" s="0" t="n">
        <v>-0.000117042708152439</v>
      </c>
      <c r="H4" s="0" t="n">
        <f aca="false">C4+E4</f>
        <v>0.0001170427080433</v>
      </c>
      <c r="I4" s="0" t="n">
        <f aca="false">D4+F4+G4</f>
        <v>-0.000117042708152439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</row>
    <row r="5" customFormat="false" ht="13.8" hidden="false" customHeight="false" outlineLevel="0" collapsed="false">
      <c r="B5" s="0" t="s">
        <v>7</v>
      </c>
      <c r="C5" s="0" t="n">
        <v>0</v>
      </c>
      <c r="D5" s="0" t="n">
        <v>-0.00156212696657167</v>
      </c>
      <c r="E5" s="0" t="n">
        <v>0</v>
      </c>
      <c r="F5" s="0" t="n">
        <v>-4.76936990216927E-005</v>
      </c>
      <c r="G5" s="0" t="n">
        <v>-0.00440753648296231</v>
      </c>
      <c r="H5" s="0" t="n">
        <f aca="false">C5+E5</f>
        <v>0</v>
      </c>
      <c r="I5" s="0" t="n">
        <f aca="false">D5+F5+G5</f>
        <v>-0.00601735714855567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</row>
    <row r="6" customFormat="false" ht="13.8" hidden="false" customHeight="false" outlineLevel="0" collapsed="false">
      <c r="B6" s="0" t="s">
        <v>8</v>
      </c>
      <c r="C6" s="0" t="n">
        <v>0</v>
      </c>
      <c r="D6" s="0" t="n">
        <v>0</v>
      </c>
      <c r="E6" s="0" t="n">
        <v>0</v>
      </c>
      <c r="F6" s="0" t="n">
        <v>-0.179614470547502</v>
      </c>
      <c r="G6" s="0" t="n">
        <v>-22.4817525509589</v>
      </c>
      <c r="H6" s="0" t="n">
        <f aca="false">C6+E6</f>
        <v>0</v>
      </c>
      <c r="I6" s="0" t="n">
        <f aca="false">D6+F6+G6</f>
        <v>-22.6613670215064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</row>
    <row r="7" customFormat="false" ht="13.8" hidden="false" customHeight="false" outlineLevel="0" collapsed="false">
      <c r="B7" s="0" t="s">
        <v>9</v>
      </c>
      <c r="C7" s="0" t="n">
        <v>0</v>
      </c>
      <c r="D7" s="0" t="n">
        <v>0</v>
      </c>
      <c r="E7" s="0" t="n">
        <v>0</v>
      </c>
      <c r="F7" s="0" t="n">
        <v>-0.99078890365209</v>
      </c>
      <c r="G7" s="0" t="n">
        <v>-63.4416593061372</v>
      </c>
      <c r="H7" s="0" t="n">
        <f aca="false">C7+E7</f>
        <v>0</v>
      </c>
      <c r="I7" s="0" t="n">
        <f aca="false">D7+F7+G7</f>
        <v>-64.4324482097893</v>
      </c>
      <c r="J7" s="0" t="n">
        <v>0</v>
      </c>
      <c r="K7" s="0" t="n">
        <v>0</v>
      </c>
      <c r="L7" s="0" t="n">
        <v>8.419203</v>
      </c>
      <c r="M7" s="0" t="n">
        <v>0</v>
      </c>
      <c r="N7" s="0" t="n">
        <v>0</v>
      </c>
      <c r="O7" s="0" t="n">
        <v>-68.9913321945572</v>
      </c>
    </row>
    <row r="8" customFormat="false" ht="13.8" hidden="false" customHeight="false" outlineLevel="0" collapsed="false">
      <c r="B8" s="0" t="s">
        <v>10</v>
      </c>
      <c r="C8" s="0" t="n">
        <v>0</v>
      </c>
      <c r="D8" s="0" t="n">
        <v>0</v>
      </c>
      <c r="E8" s="0" t="n">
        <v>0</v>
      </c>
      <c r="F8" s="0" t="n">
        <v>-1.4271543903869</v>
      </c>
      <c r="G8" s="0" t="n">
        <v>-91.3827781866</v>
      </c>
      <c r="H8" s="0" t="n">
        <f aca="false">C8+E8</f>
        <v>0</v>
      </c>
      <c r="I8" s="0" t="n">
        <f aca="false">D8+F8+G8</f>
        <v>-92.8099325769869</v>
      </c>
      <c r="J8" s="0" t="n">
        <v>0</v>
      </c>
      <c r="K8" s="0" t="n">
        <v>-33.9250813405539</v>
      </c>
      <c r="L8" s="0" t="n">
        <v>0</v>
      </c>
      <c r="M8" s="0" t="n">
        <v>0</v>
      </c>
      <c r="N8" s="0" t="n">
        <v>0</v>
      </c>
      <c r="O8" s="0" t="n">
        <v>-53.3243618016254</v>
      </c>
    </row>
    <row r="9" customFormat="false" ht="13.8" hidden="false" customHeight="false" outlineLevel="0" collapsed="false">
      <c r="B9" s="0" t="s">
        <v>11</v>
      </c>
      <c r="C9" s="0" t="n">
        <v>0</v>
      </c>
      <c r="D9" s="0" t="n">
        <v>0</v>
      </c>
      <c r="E9" s="0" t="n">
        <v>0</v>
      </c>
      <c r="F9" s="0" t="n">
        <v>-1.44763101235371</v>
      </c>
      <c r="G9" s="0" t="n">
        <v>-92.6939261715745</v>
      </c>
      <c r="H9" s="0" t="n">
        <f aca="false">C9+E9</f>
        <v>0</v>
      </c>
      <c r="I9" s="0" t="n">
        <f aca="false">D9+F9+G9</f>
        <v>-94.1415571839282</v>
      </c>
      <c r="J9" s="0" t="n">
        <v>22.2700366763001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-110.771323260276</v>
      </c>
    </row>
    <row r="10" customFormat="false" ht="13.8" hidden="false" customHeight="false" outlineLevel="0" collapsed="false">
      <c r="B10" s="0" t="s">
        <v>12</v>
      </c>
      <c r="C10" s="0" t="n">
        <v>0</v>
      </c>
      <c r="D10" s="0" t="n">
        <v>0</v>
      </c>
      <c r="E10" s="0" t="n">
        <v>0</v>
      </c>
      <c r="F10" s="0" t="n">
        <v>-1.11423603105017</v>
      </c>
      <c r="G10" s="0" t="n">
        <v>-71.3461590132311</v>
      </c>
      <c r="H10" s="0" t="n">
        <f aca="false">C10+E10</f>
        <v>0</v>
      </c>
      <c r="I10" s="0" t="n">
        <f aca="false">D10+F10+G10</f>
        <v>-72.4603950442813</v>
      </c>
      <c r="J10" s="0" t="n">
        <v>58.41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-126.529100423132</v>
      </c>
    </row>
    <row r="11" customFormat="false" ht="13.8" hidden="false" customHeight="false" outlineLevel="0" collapsed="false">
      <c r="B11" s="0" t="s">
        <v>13</v>
      </c>
      <c r="C11" s="0" t="n">
        <v>0</v>
      </c>
      <c r="D11" s="0" t="n">
        <v>0</v>
      </c>
      <c r="E11" s="0" t="n">
        <v>0</v>
      </c>
      <c r="F11" s="0" t="n">
        <v>-0.351915970835311</v>
      </c>
      <c r="G11" s="0" t="n">
        <v>-22.5336931447532</v>
      </c>
      <c r="H11" s="0" t="n">
        <f aca="false">C11+E11</f>
        <v>0</v>
      </c>
      <c r="I11" s="0" t="n">
        <f aca="false">D11+F11+G11</f>
        <v>-22.8856091155885</v>
      </c>
      <c r="J11" s="0" t="n">
        <v>0</v>
      </c>
      <c r="K11" s="0" t="n">
        <v>-18.45</v>
      </c>
      <c r="L11" s="0" t="n">
        <v>0</v>
      </c>
      <c r="M11" s="0" t="n">
        <v>0</v>
      </c>
      <c r="N11" s="0" t="n">
        <v>0</v>
      </c>
      <c r="O11" s="0" t="n">
        <v>-3.06447152111973</v>
      </c>
    </row>
    <row r="12" customFormat="false" ht="13.8" hidden="false" customHeight="false" outlineLevel="0" collapsed="false">
      <c r="B12" s="0" t="s">
        <v>14</v>
      </c>
      <c r="C12" s="0" t="n">
        <v>0</v>
      </c>
      <c r="D12" s="0" t="n">
        <v>0</v>
      </c>
      <c r="E12" s="0" t="n">
        <v>0</v>
      </c>
      <c r="F12" s="0" t="n">
        <v>-0.000461102682220371</v>
      </c>
      <c r="G12" s="0" t="n">
        <v>-0.0295250776053581</v>
      </c>
      <c r="H12" s="0" t="n">
        <f aca="false">C12+E12</f>
        <v>0</v>
      </c>
      <c r="I12" s="0" t="n">
        <f aca="false">D12+F12+G12</f>
        <v>-0.0299861802875785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-0.0281896286248084</v>
      </c>
    </row>
    <row r="13" customFormat="false" ht="13.8" hidden="false" customHeight="false" outlineLevel="0" collapsed="false">
      <c r="B13" s="0" t="s">
        <v>15</v>
      </c>
      <c r="C13" s="0" t="n">
        <v>0</v>
      </c>
      <c r="D13" s="0" t="n">
        <v>0</v>
      </c>
      <c r="E13" s="0" t="n">
        <v>0</v>
      </c>
      <c r="F13" s="0" t="n">
        <v>-6.35280071110174E-005</v>
      </c>
      <c r="G13" s="0" t="n">
        <v>-0.00406779099852429</v>
      </c>
      <c r="H13" s="0" t="n">
        <f aca="false">C13+E13</f>
        <v>0</v>
      </c>
      <c r="I13" s="0" t="n">
        <f aca="false">D13+F13+G13</f>
        <v>-0.00413131900563531</v>
      </c>
      <c r="J13" s="0" t="n">
        <v>0</v>
      </c>
      <c r="K13" s="0" t="n">
        <v>0</v>
      </c>
      <c r="L13" s="0" t="n">
        <v>0</v>
      </c>
      <c r="M13" s="0" t="n">
        <v>-13.33543185</v>
      </c>
      <c r="N13" s="0" t="n">
        <v>13.3315480492835</v>
      </c>
      <c r="O13" s="0" t="n">
        <v>0</v>
      </c>
    </row>
    <row r="14" customFormat="false" ht="13.8" hidden="false" customHeight="false" outlineLevel="0" collapsed="false">
      <c r="B14" s="0" t="s">
        <v>16</v>
      </c>
      <c r="C14" s="0" t="n">
        <v>0</v>
      </c>
      <c r="D14" s="0" t="n">
        <v>0</v>
      </c>
      <c r="E14" s="0" t="n">
        <v>9.09494701772928E-015</v>
      </c>
      <c r="F14" s="0" t="n">
        <v>0</v>
      </c>
      <c r="G14" s="0" t="n">
        <v>-1.20053300634027E-013</v>
      </c>
      <c r="H14" s="0" t="n">
        <f aca="false">C14+E14</f>
        <v>9.09494701772928E-015</v>
      </c>
      <c r="I14" s="0" t="n">
        <f aca="false">D14+F14+G14</f>
        <v>-1.20053300634027E-013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</row>
    <row r="15" customFormat="false" ht="13.8" hidden="false" customHeight="false" outlineLevel="0" collapsed="false">
      <c r="B15" s="0" t="s">
        <v>17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f aca="false">C15+E15</f>
        <v>0</v>
      </c>
      <c r="I15" s="0" t="n">
        <f aca="false">D15+F15+G15</f>
        <v>0</v>
      </c>
      <c r="J15" s="0" t="n">
        <v>0</v>
      </c>
      <c r="K15" s="0" t="n">
        <v>0</v>
      </c>
      <c r="L15" s="0" t="n">
        <v>0</v>
      </c>
      <c r="M15" s="0" t="n">
        <v>-7.9850106</v>
      </c>
      <c r="N15" s="0" t="n">
        <v>7.98501060000007</v>
      </c>
      <c r="O15" s="0" t="n">
        <v>0</v>
      </c>
    </row>
    <row r="16" customFormat="false" ht="13.8" hidden="false" customHeight="false" outlineLevel="0" collapsed="false">
      <c r="B16" s="0" t="s">
        <v>18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-1.16415321826935E-013</v>
      </c>
      <c r="H16" s="0" t="n">
        <f aca="false">C16+E16</f>
        <v>0</v>
      </c>
      <c r="I16" s="0" t="n">
        <f aca="false">D16+F16+G16</f>
        <v>-1.16415321826935E-013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</row>
    <row r="17" customFormat="false" ht="13.8" hidden="false" customHeight="false" outlineLevel="0" collapsed="false">
      <c r="B17" s="0" t="s">
        <v>19</v>
      </c>
      <c r="C17" s="0" t="n">
        <v>0</v>
      </c>
      <c r="D17" s="0" t="n">
        <v>0</v>
      </c>
      <c r="E17" s="0" t="n">
        <v>0</v>
      </c>
      <c r="F17" s="0" t="n">
        <v>-0.000597907183120697</v>
      </c>
      <c r="G17" s="0" t="n">
        <v>-0.0382848694297136</v>
      </c>
      <c r="H17" s="0" t="n">
        <f aca="false">C17+E17</f>
        <v>0</v>
      </c>
      <c r="I17" s="0" t="n">
        <f aca="false">D17+F17+G17</f>
        <v>-0.0388827766128343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-0.0365532062465661</v>
      </c>
    </row>
    <row r="18" customFormat="false" ht="13.8" hidden="false" customHeight="false" outlineLevel="0" collapsed="false">
      <c r="B18" s="0" t="s">
        <v>20</v>
      </c>
      <c r="C18" s="0" t="n">
        <v>0</v>
      </c>
      <c r="D18" s="0" t="n">
        <v>0</v>
      </c>
      <c r="E18" s="0" t="n">
        <v>0</v>
      </c>
      <c r="F18" s="0" t="n">
        <v>-0.226906066899624</v>
      </c>
      <c r="G18" s="0" t="n">
        <v>-14.5291265754794</v>
      </c>
      <c r="H18" s="0" t="n">
        <f aca="false">C18+E18</f>
        <v>0</v>
      </c>
      <c r="I18" s="0" t="n">
        <f aca="false">D18+F18+G18</f>
        <v>-14.756032642379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-13.8719595552709</v>
      </c>
    </row>
    <row r="19" customFormat="false" ht="13.8" hidden="false" customHeight="false" outlineLevel="0" collapsed="false">
      <c r="B19" s="0" t="s">
        <v>21</v>
      </c>
      <c r="C19" s="0" t="n">
        <v>0</v>
      </c>
      <c r="D19" s="0" t="n">
        <v>0</v>
      </c>
      <c r="E19" s="0" t="n">
        <v>0</v>
      </c>
      <c r="F19" s="0" t="n">
        <v>-1.00271788512082</v>
      </c>
      <c r="G19" s="0" t="n">
        <v>-64.2054893969044</v>
      </c>
      <c r="H19" s="0" t="n">
        <f aca="false">C19+E19</f>
        <v>0</v>
      </c>
      <c r="I19" s="0" t="n">
        <f aca="false">D19+F19+G19</f>
        <v>-65.2082072820252</v>
      </c>
      <c r="J19" s="0" t="n">
        <v>0</v>
      </c>
      <c r="K19" s="0" t="n">
        <v>-21.9525841300541</v>
      </c>
      <c r="L19" s="0" t="n">
        <v>0</v>
      </c>
      <c r="M19" s="0" t="n">
        <v>0</v>
      </c>
      <c r="N19" s="0" t="n">
        <v>0</v>
      </c>
      <c r="O19" s="0" t="n">
        <v>-39.3488263513843</v>
      </c>
    </row>
    <row r="20" customFormat="false" ht="13.8" hidden="false" customHeight="false" outlineLevel="0" collapsed="false">
      <c r="B20" s="0" t="s">
        <v>22</v>
      </c>
      <c r="C20" s="0" t="n">
        <v>0</v>
      </c>
      <c r="D20" s="0" t="n">
        <v>0</v>
      </c>
      <c r="E20" s="0" t="n">
        <v>0</v>
      </c>
      <c r="F20" s="0" t="n">
        <v>-1.40093492954072</v>
      </c>
      <c r="G20" s="0" t="n">
        <v>-89.7039078479602</v>
      </c>
      <c r="H20" s="0" t="n">
        <f aca="false">C20+E20</f>
        <v>0</v>
      </c>
      <c r="I20" s="0" t="n">
        <f aca="false">D20+F20+G20</f>
        <v>-91.1048427775009</v>
      </c>
      <c r="J20" s="0" t="n">
        <v>0</v>
      </c>
      <c r="K20" s="0" t="n">
        <v>-45.4971228461346</v>
      </c>
      <c r="L20" s="0" t="n">
        <v>0</v>
      </c>
      <c r="M20" s="0" t="n">
        <v>0</v>
      </c>
      <c r="N20" s="0" t="n">
        <v>0</v>
      </c>
      <c r="O20" s="0" t="n">
        <v>-40.1493869527933</v>
      </c>
    </row>
    <row r="21" customFormat="false" ht="13.8" hidden="false" customHeight="false" outlineLevel="0" collapsed="false">
      <c r="B21" s="0" t="s">
        <v>23</v>
      </c>
      <c r="C21" s="0" t="n">
        <v>0</v>
      </c>
      <c r="D21" s="0" t="n">
        <v>0</v>
      </c>
      <c r="E21" s="0" t="n">
        <v>0</v>
      </c>
      <c r="F21" s="0" t="n">
        <v>-1.36329489784145</v>
      </c>
      <c r="G21" s="0" t="n">
        <v>-87.2937616921694</v>
      </c>
      <c r="H21" s="0" t="n">
        <f aca="false">C21+E21</f>
        <v>0</v>
      </c>
      <c r="I21" s="0" t="n">
        <f aca="false">D21+F21+G21</f>
        <v>-88.6570565900109</v>
      </c>
      <c r="J21" s="0" t="n">
        <v>0</v>
      </c>
      <c r="K21" s="0" t="n">
        <v>-199.065316647012</v>
      </c>
      <c r="L21" s="0" t="n">
        <v>11.5897266</v>
      </c>
      <c r="M21" s="0" t="n">
        <v>0</v>
      </c>
      <c r="N21" s="0" t="n">
        <v>104.130213067165</v>
      </c>
      <c r="O21" s="0" t="n">
        <v>0</v>
      </c>
    </row>
    <row r="22" customFormat="false" ht="13.8" hidden="false" customHeight="false" outlineLevel="0" collapsed="false">
      <c r="B22" s="0" t="s">
        <v>24</v>
      </c>
      <c r="C22" s="0" t="n">
        <v>0</v>
      </c>
      <c r="D22" s="0" t="n">
        <v>0</v>
      </c>
      <c r="E22" s="0" t="n">
        <v>0</v>
      </c>
      <c r="F22" s="0" t="n">
        <v>-1.07200181024893</v>
      </c>
      <c r="G22" s="0" t="n">
        <v>-68.6418402251867</v>
      </c>
      <c r="H22" s="0" t="n">
        <f aca="false">C22+E22</f>
        <v>0</v>
      </c>
      <c r="I22" s="0" t="n">
        <f aca="false">D22+F22+G22</f>
        <v>-69.7138420354356</v>
      </c>
      <c r="J22" s="0" t="n">
        <v>0</v>
      </c>
      <c r="K22" s="0" t="n">
        <v>0</v>
      </c>
      <c r="L22" s="0" t="n">
        <v>0</v>
      </c>
      <c r="M22" s="0" t="n">
        <v>-12.9350691</v>
      </c>
      <c r="N22" s="0" t="n">
        <v>0</v>
      </c>
      <c r="O22" s="0" t="n">
        <v>-52.6020315960714</v>
      </c>
    </row>
    <row r="23" customFormat="false" ht="13.8" hidden="false" customHeight="false" outlineLevel="0" collapsed="false">
      <c r="B23" s="0" t="s">
        <v>25</v>
      </c>
      <c r="C23" s="0" t="n">
        <v>0</v>
      </c>
      <c r="D23" s="0" t="n">
        <v>0</v>
      </c>
      <c r="E23" s="0" t="n">
        <v>0</v>
      </c>
      <c r="F23" s="0" t="n">
        <v>-0.420681326853386</v>
      </c>
      <c r="G23" s="0" t="n">
        <v>-26.936839236199</v>
      </c>
      <c r="H23" s="0" t="n">
        <f aca="false">C23+E23</f>
        <v>0</v>
      </c>
      <c r="I23" s="0" t="n">
        <f aca="false">D23+F23+G23</f>
        <v>-27.3575205630524</v>
      </c>
      <c r="J23" s="0" t="n">
        <v>0</v>
      </c>
      <c r="K23" s="0" t="n">
        <v>-16.9182</v>
      </c>
      <c r="L23" s="0" t="n">
        <v>0</v>
      </c>
      <c r="M23" s="0" t="n">
        <v>0</v>
      </c>
      <c r="N23" s="0" t="n">
        <v>0</v>
      </c>
      <c r="O23" s="0" t="n">
        <v>-8.80025888258852</v>
      </c>
    </row>
    <row r="24" customFormat="false" ht="13.8" hidden="false" customHeight="false" outlineLevel="0" collapsed="false">
      <c r="B24" s="0" t="s">
        <v>26</v>
      </c>
      <c r="C24" s="0" t="n">
        <v>0</v>
      </c>
      <c r="D24" s="0" t="n">
        <v>0</v>
      </c>
      <c r="E24" s="0" t="n">
        <v>0</v>
      </c>
      <c r="F24" s="0" t="n">
        <v>-0.0118625328154267</v>
      </c>
      <c r="G24" s="0" t="n">
        <v>-0.759575286532199</v>
      </c>
      <c r="H24" s="0" t="n">
        <f aca="false">C24+E24</f>
        <v>0</v>
      </c>
      <c r="I24" s="0" t="n">
        <f aca="false">D24+F24+G24</f>
        <v>-0.771437819347626</v>
      </c>
      <c r="J24" s="0" t="n">
        <v>0.732</v>
      </c>
      <c r="K24" s="0" t="n">
        <v>0</v>
      </c>
      <c r="L24" s="0" t="n">
        <v>0</v>
      </c>
      <c r="M24" s="0" t="n">
        <v>-12.081843</v>
      </c>
      <c r="N24" s="0" t="n">
        <v>10.6246240682761</v>
      </c>
      <c r="O24" s="0" t="n">
        <v>0</v>
      </c>
    </row>
    <row r="25" customFormat="false" ht="13.8" hidden="false" customHeight="false" outlineLevel="0" collapsed="false">
      <c r="B25" s="0" t="s">
        <v>27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f aca="false">C25+E25</f>
        <v>0</v>
      </c>
      <c r="I25" s="0" t="n">
        <f aca="false">D25+F25+G25</f>
        <v>0</v>
      </c>
      <c r="J25" s="0" t="n">
        <v>0</v>
      </c>
      <c r="K25" s="0" t="n">
        <v>0</v>
      </c>
      <c r="L25" s="0" t="n">
        <v>10.8095706</v>
      </c>
      <c r="M25" s="0" t="n">
        <v>0</v>
      </c>
      <c r="N25" s="0" t="n">
        <v>0</v>
      </c>
      <c r="O25" s="0" t="n">
        <v>-10.8095705999999</v>
      </c>
    </row>
    <row r="26" customFormat="false" ht="13.8" hidden="false" customHeight="false" outlineLevel="0" collapsed="false">
      <c r="B26" s="0" t="s">
        <v>28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f aca="false">C26+E26</f>
        <v>0</v>
      </c>
      <c r="I26" s="0" t="n">
        <f aca="false">D26+F26+G26</f>
        <v>0</v>
      </c>
      <c r="J26" s="0" t="n">
        <v>0</v>
      </c>
      <c r="K26" s="0" t="n">
        <v>0</v>
      </c>
      <c r="L26" s="0" t="n">
        <v>9.25891965</v>
      </c>
      <c r="M26" s="0" t="n">
        <v>0</v>
      </c>
      <c r="N26" s="0" t="n">
        <v>0</v>
      </c>
      <c r="O26" s="0" t="n">
        <v>-9.25891964999985</v>
      </c>
    </row>
    <row r="30" customFormat="false" ht="13.8" hidden="false" customHeight="false" outlineLevel="0" collapsed="false">
      <c r="F30" s="0" t="s">
        <v>38</v>
      </c>
      <c r="G30" s="0" t="s">
        <v>48</v>
      </c>
      <c r="H30" s="0" t="s">
        <v>49</v>
      </c>
      <c r="I30" s="0" t="s">
        <v>42</v>
      </c>
      <c r="J30" s="0" t="s">
        <v>50</v>
      </c>
      <c r="K30" s="0" t="s">
        <v>43</v>
      </c>
      <c r="L30" s="0" t="s">
        <v>51</v>
      </c>
      <c r="M30" s="0" t="s">
        <v>44</v>
      </c>
      <c r="N30" s="0" t="s">
        <v>52</v>
      </c>
    </row>
    <row r="31" customFormat="false" ht="13.8" hidden="false" customHeight="false" outlineLevel="0" collapsed="false">
      <c r="F31" s="0" t="s">
        <v>5</v>
      </c>
      <c r="G31" s="5" t="n">
        <v>0</v>
      </c>
      <c r="H31" s="5" t="n">
        <v>-0.00011704270800692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 customFormat="false" ht="13.8" hidden="false" customHeight="false" outlineLevel="0" collapsed="false">
      <c r="F32" s="0" t="s">
        <v>6</v>
      </c>
      <c r="G32" s="5" t="n">
        <v>0.0001170427080433</v>
      </c>
      <c r="H32" s="5" t="n">
        <v>-0.000117042708152439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 customFormat="false" ht="13.8" hidden="false" customHeight="false" outlineLevel="0" collapsed="false">
      <c r="F33" s="0" t="s">
        <v>7</v>
      </c>
      <c r="G33" s="5" t="n">
        <v>0</v>
      </c>
      <c r="H33" s="5" t="n">
        <v>-0.00601735714855567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</row>
    <row r="34" customFormat="false" ht="13.8" hidden="false" customHeight="false" outlineLevel="0" collapsed="false">
      <c r="F34" s="0" t="s">
        <v>8</v>
      </c>
      <c r="G34" s="5" t="n">
        <v>0</v>
      </c>
      <c r="H34" s="5" t="n">
        <v>-22.6613670215064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</row>
    <row r="35" customFormat="false" ht="13.8" hidden="false" customHeight="false" outlineLevel="0" collapsed="false">
      <c r="F35" s="0" t="s">
        <v>9</v>
      </c>
      <c r="G35" s="5" t="n">
        <v>0</v>
      </c>
      <c r="H35" s="5" t="n">
        <v>-64.4324482097893</v>
      </c>
      <c r="I35" s="5" t="n">
        <v>0</v>
      </c>
      <c r="J35" s="5" t="n">
        <v>0</v>
      </c>
      <c r="K35" s="5" t="n">
        <v>8.419203</v>
      </c>
      <c r="L35" s="5" t="n">
        <v>0</v>
      </c>
      <c r="M35" s="5" t="n">
        <v>0</v>
      </c>
      <c r="N35" s="5" t="n">
        <v>-68.9913321945572</v>
      </c>
    </row>
    <row r="36" customFormat="false" ht="13.8" hidden="false" customHeight="false" outlineLevel="0" collapsed="false">
      <c r="F36" s="0" t="s">
        <v>10</v>
      </c>
      <c r="G36" s="5" t="n">
        <v>0</v>
      </c>
      <c r="H36" s="5" t="n">
        <v>-92.8099325769869</v>
      </c>
      <c r="I36" s="5" t="n">
        <v>0</v>
      </c>
      <c r="J36" s="5" t="n">
        <v>-33.9250813405539</v>
      </c>
      <c r="K36" s="5" t="n">
        <v>0</v>
      </c>
      <c r="L36" s="5" t="n">
        <v>0</v>
      </c>
      <c r="M36" s="5" t="n">
        <v>0</v>
      </c>
      <c r="N36" s="5" t="n">
        <v>-53.3243618016254</v>
      </c>
    </row>
    <row r="37" customFormat="false" ht="13.8" hidden="false" customHeight="false" outlineLevel="0" collapsed="false">
      <c r="F37" s="0" t="s">
        <v>11</v>
      </c>
      <c r="G37" s="5" t="n">
        <v>0</v>
      </c>
      <c r="H37" s="5" t="n">
        <v>-94.1415571839282</v>
      </c>
      <c r="I37" s="5" t="n">
        <v>22.2700366763001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-110.771323260276</v>
      </c>
    </row>
    <row r="38" customFormat="false" ht="13.8" hidden="false" customHeight="false" outlineLevel="0" collapsed="false">
      <c r="F38" s="0" t="s">
        <v>12</v>
      </c>
      <c r="G38" s="5" t="n">
        <v>0</v>
      </c>
      <c r="H38" s="5" t="n">
        <v>-72.4603950442813</v>
      </c>
      <c r="I38" s="5" t="n">
        <v>58.41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-126.529100423132</v>
      </c>
    </row>
    <row r="39" customFormat="false" ht="13.8" hidden="false" customHeight="false" outlineLevel="0" collapsed="false">
      <c r="F39" s="0" t="s">
        <v>13</v>
      </c>
      <c r="G39" s="5" t="n">
        <v>0</v>
      </c>
      <c r="H39" s="5" t="n">
        <v>-22.8856091155885</v>
      </c>
      <c r="I39" s="5" t="n">
        <v>0</v>
      </c>
      <c r="J39" s="5" t="n">
        <v>-18.45</v>
      </c>
      <c r="K39" s="5" t="n">
        <v>0</v>
      </c>
      <c r="L39" s="5" t="n">
        <v>0</v>
      </c>
      <c r="M39" s="5" t="n">
        <v>0</v>
      </c>
      <c r="N39" s="5" t="n">
        <v>-3.06447152111973</v>
      </c>
    </row>
    <row r="40" customFormat="false" ht="13.8" hidden="false" customHeight="false" outlineLevel="0" collapsed="false">
      <c r="F40" s="0" t="s">
        <v>14</v>
      </c>
      <c r="G40" s="5" t="n">
        <v>0</v>
      </c>
      <c r="H40" s="5" t="n">
        <v>-0.0299861802875785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-0.0281896286248084</v>
      </c>
    </row>
    <row r="41" customFormat="false" ht="13.8" hidden="false" customHeight="false" outlineLevel="0" collapsed="false">
      <c r="F41" s="0" t="s">
        <v>15</v>
      </c>
      <c r="G41" s="5" t="n">
        <v>0</v>
      </c>
      <c r="H41" s="5" t="n">
        <v>-0.00413131900563531</v>
      </c>
      <c r="I41" s="5" t="n">
        <v>0</v>
      </c>
      <c r="J41" s="5" t="n">
        <v>0</v>
      </c>
      <c r="K41" s="5" t="n">
        <v>0</v>
      </c>
      <c r="L41" s="5" t="n">
        <v>-13.33543185</v>
      </c>
      <c r="M41" s="5" t="n">
        <v>13.3315480492835</v>
      </c>
      <c r="N41" s="5" t="n">
        <v>0</v>
      </c>
    </row>
    <row r="42" customFormat="false" ht="13.8" hidden="false" customHeight="false" outlineLevel="0" collapsed="false">
      <c r="F42" s="0" t="s">
        <v>16</v>
      </c>
      <c r="G42" s="5" t="n">
        <v>9.09494701772928E-015</v>
      </c>
      <c r="H42" s="5" t="n">
        <v>-1.20053300634027E-013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</row>
    <row r="43" customFormat="false" ht="13.8" hidden="false" customHeight="false" outlineLevel="0" collapsed="false">
      <c r="F43" s="0" t="s">
        <v>17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-7.9850106</v>
      </c>
      <c r="M43" s="5" t="n">
        <v>7.98501060000007</v>
      </c>
      <c r="N43" s="5" t="n">
        <v>0</v>
      </c>
    </row>
    <row r="44" customFormat="false" ht="13.8" hidden="false" customHeight="false" outlineLevel="0" collapsed="false">
      <c r="F44" s="0" t="s">
        <v>18</v>
      </c>
      <c r="G44" s="5" t="n">
        <v>0</v>
      </c>
      <c r="H44" s="5" t="n">
        <v>-1.16415321826935E-013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 customFormat="false" ht="13.8" hidden="false" customHeight="false" outlineLevel="0" collapsed="false">
      <c r="F45" s="0" t="s">
        <v>19</v>
      </c>
      <c r="G45" s="5" t="n">
        <v>0</v>
      </c>
      <c r="H45" s="5" t="n">
        <v>-0.0388827766128343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-0.0365532062465661</v>
      </c>
    </row>
    <row r="46" customFormat="false" ht="13.8" hidden="false" customHeight="false" outlineLevel="0" collapsed="false">
      <c r="F46" s="0" t="s">
        <v>20</v>
      </c>
      <c r="G46" s="5" t="n">
        <v>0</v>
      </c>
      <c r="H46" s="5" t="n">
        <v>-14.756032642379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-13.8719595552709</v>
      </c>
    </row>
    <row r="47" customFormat="false" ht="13.8" hidden="false" customHeight="false" outlineLevel="0" collapsed="false">
      <c r="F47" s="0" t="s">
        <v>21</v>
      </c>
      <c r="G47" s="5" t="n">
        <v>0</v>
      </c>
      <c r="H47" s="5" t="n">
        <v>-65.2082072820252</v>
      </c>
      <c r="I47" s="5" t="n">
        <v>0</v>
      </c>
      <c r="J47" s="5" t="n">
        <v>-21.9525841300541</v>
      </c>
      <c r="K47" s="5" t="n">
        <v>0</v>
      </c>
      <c r="L47" s="5" t="n">
        <v>0</v>
      </c>
      <c r="M47" s="5" t="n">
        <v>0</v>
      </c>
      <c r="N47" s="5" t="n">
        <v>-39.3488263513843</v>
      </c>
    </row>
    <row r="48" customFormat="false" ht="13.8" hidden="false" customHeight="false" outlineLevel="0" collapsed="false">
      <c r="F48" s="0" t="s">
        <v>22</v>
      </c>
      <c r="G48" s="5" t="n">
        <v>0</v>
      </c>
      <c r="H48" s="5" t="n">
        <v>-91.1048427775009</v>
      </c>
      <c r="I48" s="5" t="n">
        <v>0</v>
      </c>
      <c r="J48" s="5" t="n">
        <v>-45.4971228461346</v>
      </c>
      <c r="K48" s="5" t="n">
        <v>0</v>
      </c>
      <c r="L48" s="5" t="n">
        <v>0</v>
      </c>
      <c r="M48" s="5" t="n">
        <v>0</v>
      </c>
      <c r="N48" s="5" t="n">
        <v>-40.1493869527933</v>
      </c>
    </row>
    <row r="49" customFormat="false" ht="13.8" hidden="false" customHeight="false" outlineLevel="0" collapsed="false">
      <c r="F49" s="0" t="s">
        <v>23</v>
      </c>
      <c r="G49" s="5" t="n">
        <v>0</v>
      </c>
      <c r="H49" s="5" t="n">
        <v>-88.6570565900109</v>
      </c>
      <c r="I49" s="5" t="n">
        <v>0</v>
      </c>
      <c r="J49" s="5" t="n">
        <v>-199.065316647012</v>
      </c>
      <c r="K49" s="5" t="n">
        <v>11.5897266</v>
      </c>
      <c r="L49" s="5" t="n">
        <v>0</v>
      </c>
      <c r="M49" s="5" t="n">
        <v>104.130213067165</v>
      </c>
      <c r="N49" s="5" t="n">
        <v>0</v>
      </c>
    </row>
    <row r="50" customFormat="false" ht="13.8" hidden="false" customHeight="false" outlineLevel="0" collapsed="false">
      <c r="F50" s="0" t="s">
        <v>24</v>
      </c>
      <c r="G50" s="5" t="n">
        <v>0</v>
      </c>
      <c r="H50" s="5" t="n">
        <v>-69.7138420354356</v>
      </c>
      <c r="I50" s="5" t="n">
        <v>0</v>
      </c>
      <c r="J50" s="5" t="n">
        <v>0</v>
      </c>
      <c r="K50" s="5" t="n">
        <v>0</v>
      </c>
      <c r="L50" s="5" t="n">
        <v>-12.9350691</v>
      </c>
      <c r="M50" s="5" t="n">
        <v>0</v>
      </c>
      <c r="N50" s="5" t="n">
        <v>-52.6020315960714</v>
      </c>
    </row>
    <row r="51" customFormat="false" ht="13.8" hidden="false" customHeight="false" outlineLevel="0" collapsed="false">
      <c r="F51" s="0" t="s">
        <v>25</v>
      </c>
      <c r="G51" s="5" t="n">
        <v>0</v>
      </c>
      <c r="H51" s="5" t="n">
        <v>-27.3575205630524</v>
      </c>
      <c r="I51" s="5" t="n">
        <v>0</v>
      </c>
      <c r="J51" s="5" t="n">
        <v>-16.9182</v>
      </c>
      <c r="K51" s="5" t="n">
        <v>0</v>
      </c>
      <c r="L51" s="5" t="n">
        <v>0</v>
      </c>
      <c r="M51" s="5" t="n">
        <v>0</v>
      </c>
      <c r="N51" s="5" t="n">
        <v>-8.80025888258852</v>
      </c>
    </row>
    <row r="52" customFormat="false" ht="13.8" hidden="false" customHeight="false" outlineLevel="0" collapsed="false">
      <c r="F52" s="0" t="s">
        <v>26</v>
      </c>
      <c r="G52" s="5" t="n">
        <v>0</v>
      </c>
      <c r="H52" s="5" t="n">
        <v>-0.771437819347626</v>
      </c>
      <c r="I52" s="5" t="n">
        <v>0.732</v>
      </c>
      <c r="J52" s="5" t="n">
        <v>0</v>
      </c>
      <c r="K52" s="5" t="n">
        <v>0</v>
      </c>
      <c r="L52" s="5" t="n">
        <v>-12.081843</v>
      </c>
      <c r="M52" s="5" t="n">
        <v>10.6246240682761</v>
      </c>
      <c r="N52" s="5" t="n">
        <v>0</v>
      </c>
    </row>
    <row r="53" customFormat="false" ht="13.8" hidden="false" customHeight="false" outlineLevel="0" collapsed="false">
      <c r="F53" s="0" t="s">
        <v>27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10.8095706</v>
      </c>
      <c r="L53" s="5" t="n">
        <v>0</v>
      </c>
      <c r="M53" s="5" t="n">
        <v>0</v>
      </c>
      <c r="N53" s="5" t="n">
        <v>-10.8095705999999</v>
      </c>
    </row>
    <row r="54" customFormat="false" ht="13.8" hidden="false" customHeight="false" outlineLevel="0" collapsed="false">
      <c r="F54" s="0" t="s">
        <v>28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9.25891965</v>
      </c>
      <c r="L54" s="5" t="n">
        <v>0</v>
      </c>
      <c r="M54" s="5" t="n">
        <v>0</v>
      </c>
      <c r="N54" s="5" t="n">
        <v>-9.25891964999985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2025-11-10T18:28:20Z</dcterms:created>
  <dc:creator>Emilio</dc:creator>
  <dc:description/>
  <dc:language>es-AR</dc:language>
  <cp:lastModifiedBy/>
  <dcterms:modified xsi:type="dcterms:W3CDTF">2025-12-05T14:35:48Z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