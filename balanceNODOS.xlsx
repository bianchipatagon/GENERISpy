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ilio\Documents\GENERIS\balance NODOS\"/>
    </mc:Choice>
  </mc:AlternateContent>
  <xr:revisionPtr revIDLastSave="0" documentId="13_ncr:1_{ADF01E55-FDA8-4FE8-AD4C-D0DF737C9B83}" xr6:coauthVersionLast="47" xr6:coauthVersionMax="47" xr10:uidLastSave="{00000000-0000-0000-0000-000000000000}"/>
  <bookViews>
    <workbookView xWindow="-120" yWindow="-120" windowWidth="20730" windowHeight="11160" activeTab="3" xr2:uid="{4226FB01-2E20-4BA7-A67A-4C376A2C2C85}"/>
  </bookViews>
  <sheets>
    <sheet name="Hoja1" sheetId="1" r:id="rId1"/>
    <sheet name="ALT GD CMANEJO" sheetId="3" r:id="rId2"/>
    <sheet name="ALT" sheetId="4" r:id="rId3"/>
    <sheet name="ALT GD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88" i="5" l="1"/>
  <c r="R88" i="5"/>
  <c r="Q88" i="5"/>
  <c r="P88" i="5"/>
  <c r="O88" i="5"/>
  <c r="N88" i="5"/>
  <c r="M88" i="5"/>
  <c r="L88" i="5"/>
  <c r="S87" i="5"/>
  <c r="R87" i="5"/>
  <c r="Q87" i="5"/>
  <c r="P87" i="5"/>
  <c r="O87" i="5"/>
  <c r="N87" i="5"/>
  <c r="M87" i="5"/>
  <c r="L87" i="5"/>
  <c r="S86" i="5"/>
  <c r="R86" i="5"/>
  <c r="Q86" i="5"/>
  <c r="P86" i="5"/>
  <c r="O86" i="5"/>
  <c r="N86" i="5"/>
  <c r="M86" i="5"/>
  <c r="L86" i="5"/>
  <c r="S85" i="5"/>
  <c r="R85" i="5"/>
  <c r="Q85" i="5"/>
  <c r="P85" i="5"/>
  <c r="O85" i="5"/>
  <c r="N85" i="5"/>
  <c r="M85" i="5"/>
  <c r="L85" i="5"/>
  <c r="S84" i="5"/>
  <c r="R84" i="5"/>
  <c r="Q84" i="5"/>
  <c r="P84" i="5"/>
  <c r="O84" i="5"/>
  <c r="N84" i="5"/>
  <c r="M84" i="5"/>
  <c r="L84" i="5"/>
  <c r="S83" i="5"/>
  <c r="R83" i="5"/>
  <c r="Q83" i="5"/>
  <c r="P83" i="5"/>
  <c r="O83" i="5"/>
  <c r="N83" i="5"/>
  <c r="M83" i="5"/>
  <c r="L83" i="5"/>
  <c r="S82" i="5"/>
  <c r="R82" i="5"/>
  <c r="Q82" i="5"/>
  <c r="P82" i="5"/>
  <c r="O82" i="5"/>
  <c r="N82" i="5"/>
  <c r="M82" i="5"/>
  <c r="L82" i="5"/>
  <c r="S81" i="5"/>
  <c r="R81" i="5"/>
  <c r="Q81" i="5"/>
  <c r="P81" i="5"/>
  <c r="O81" i="5"/>
  <c r="N81" i="5"/>
  <c r="M81" i="5"/>
  <c r="L81" i="5"/>
  <c r="S80" i="5"/>
  <c r="R80" i="5"/>
  <c r="Q80" i="5"/>
  <c r="P80" i="5"/>
  <c r="O80" i="5"/>
  <c r="N80" i="5"/>
  <c r="M80" i="5"/>
  <c r="L80" i="5"/>
  <c r="S79" i="5"/>
  <c r="R79" i="5"/>
  <c r="Q79" i="5"/>
  <c r="P79" i="5"/>
  <c r="O79" i="5"/>
  <c r="N79" i="5"/>
  <c r="M79" i="5"/>
  <c r="L79" i="5"/>
  <c r="S78" i="5"/>
  <c r="R78" i="5"/>
  <c r="Q78" i="5"/>
  <c r="P78" i="5"/>
  <c r="O78" i="5"/>
  <c r="N78" i="5"/>
  <c r="M78" i="5"/>
  <c r="L78" i="5"/>
  <c r="S77" i="5"/>
  <c r="R77" i="5"/>
  <c r="Q77" i="5"/>
  <c r="P77" i="5"/>
  <c r="O77" i="5"/>
  <c r="N77" i="5"/>
  <c r="M77" i="5"/>
  <c r="L77" i="5"/>
  <c r="S76" i="5"/>
  <c r="R76" i="5"/>
  <c r="Q76" i="5"/>
  <c r="P76" i="5"/>
  <c r="O76" i="5"/>
  <c r="N76" i="5"/>
  <c r="M76" i="5"/>
  <c r="L76" i="5"/>
  <c r="S75" i="5"/>
  <c r="R75" i="5"/>
  <c r="Q75" i="5"/>
  <c r="P75" i="5"/>
  <c r="O75" i="5"/>
  <c r="N75" i="5"/>
  <c r="M75" i="5"/>
  <c r="L75" i="5"/>
  <c r="S74" i="5"/>
  <c r="R74" i="5"/>
  <c r="Q74" i="5"/>
  <c r="P74" i="5"/>
  <c r="O74" i="5"/>
  <c r="N74" i="5"/>
  <c r="M74" i="5"/>
  <c r="L74" i="5"/>
  <c r="S73" i="5"/>
  <c r="R73" i="5"/>
  <c r="Q73" i="5"/>
  <c r="P73" i="5"/>
  <c r="O73" i="5"/>
  <c r="N73" i="5"/>
  <c r="M73" i="5"/>
  <c r="L73" i="5"/>
  <c r="S72" i="5"/>
  <c r="R72" i="5"/>
  <c r="Q72" i="5"/>
  <c r="P72" i="5"/>
  <c r="O72" i="5"/>
  <c r="N72" i="5"/>
  <c r="M72" i="5"/>
  <c r="L72" i="5"/>
  <c r="S71" i="5"/>
  <c r="R71" i="5"/>
  <c r="Q71" i="5"/>
  <c r="P71" i="5"/>
  <c r="O71" i="5"/>
  <c r="N71" i="5"/>
  <c r="M71" i="5"/>
  <c r="L71" i="5"/>
  <c r="S70" i="5"/>
  <c r="R70" i="5"/>
  <c r="Q70" i="5"/>
  <c r="P70" i="5"/>
  <c r="O70" i="5"/>
  <c r="N70" i="5"/>
  <c r="M70" i="5"/>
  <c r="L70" i="5"/>
  <c r="S69" i="5"/>
  <c r="R69" i="5"/>
  <c r="Q69" i="5"/>
  <c r="P69" i="5"/>
  <c r="O69" i="5"/>
  <c r="N69" i="5"/>
  <c r="M69" i="5"/>
  <c r="L69" i="5"/>
  <c r="S68" i="5"/>
  <c r="R68" i="5"/>
  <c r="Q68" i="5"/>
  <c r="P68" i="5"/>
  <c r="O68" i="5"/>
  <c r="N68" i="5"/>
  <c r="M68" i="5"/>
  <c r="L68" i="5"/>
  <c r="S67" i="5"/>
  <c r="R67" i="5"/>
  <c r="Q67" i="5"/>
  <c r="P67" i="5"/>
  <c r="O67" i="5"/>
  <c r="N67" i="5"/>
  <c r="M67" i="5"/>
  <c r="L67" i="5"/>
  <c r="S66" i="5"/>
  <c r="R66" i="5"/>
  <c r="Q66" i="5"/>
  <c r="P66" i="5"/>
  <c r="O66" i="5"/>
  <c r="N66" i="5"/>
  <c r="M66" i="5"/>
  <c r="L66" i="5"/>
  <c r="S65" i="5"/>
  <c r="R65" i="5"/>
  <c r="Q65" i="5"/>
  <c r="P65" i="5"/>
  <c r="O65" i="5"/>
  <c r="N65" i="5"/>
  <c r="M65" i="5"/>
  <c r="L65" i="5"/>
  <c r="S58" i="5"/>
  <c r="R58" i="5"/>
  <c r="Q58" i="5"/>
  <c r="P58" i="5"/>
  <c r="O58" i="5"/>
  <c r="N58" i="5"/>
  <c r="M58" i="5"/>
  <c r="L58" i="5"/>
  <c r="S57" i="5"/>
  <c r="R57" i="5"/>
  <c r="Q57" i="5"/>
  <c r="P57" i="5"/>
  <c r="O57" i="5"/>
  <c r="N57" i="5"/>
  <c r="M57" i="5"/>
  <c r="L57" i="5"/>
  <c r="S56" i="5"/>
  <c r="R56" i="5"/>
  <c r="Q56" i="5"/>
  <c r="P56" i="5"/>
  <c r="O56" i="5"/>
  <c r="N56" i="5"/>
  <c r="M56" i="5"/>
  <c r="L56" i="5"/>
  <c r="S55" i="5"/>
  <c r="R55" i="5"/>
  <c r="Q55" i="5"/>
  <c r="P55" i="5"/>
  <c r="O55" i="5"/>
  <c r="N55" i="5"/>
  <c r="M55" i="5"/>
  <c r="L55" i="5"/>
  <c r="S54" i="5"/>
  <c r="R54" i="5"/>
  <c r="Q54" i="5"/>
  <c r="P54" i="5"/>
  <c r="O54" i="5"/>
  <c r="N54" i="5"/>
  <c r="M54" i="5"/>
  <c r="L54" i="5"/>
  <c r="S53" i="5"/>
  <c r="R53" i="5"/>
  <c r="Q53" i="5"/>
  <c r="P53" i="5"/>
  <c r="O53" i="5"/>
  <c r="N53" i="5"/>
  <c r="M53" i="5"/>
  <c r="L53" i="5"/>
  <c r="S52" i="5"/>
  <c r="R52" i="5"/>
  <c r="Q52" i="5"/>
  <c r="P52" i="5"/>
  <c r="O52" i="5"/>
  <c r="N52" i="5"/>
  <c r="M52" i="5"/>
  <c r="L52" i="5"/>
  <c r="S51" i="5"/>
  <c r="R51" i="5"/>
  <c r="Q51" i="5"/>
  <c r="P51" i="5"/>
  <c r="O51" i="5"/>
  <c r="N51" i="5"/>
  <c r="M51" i="5"/>
  <c r="L51" i="5"/>
  <c r="S50" i="5"/>
  <c r="R50" i="5"/>
  <c r="Q50" i="5"/>
  <c r="P50" i="5"/>
  <c r="O50" i="5"/>
  <c r="N50" i="5"/>
  <c r="M50" i="5"/>
  <c r="L50" i="5"/>
  <c r="S49" i="5"/>
  <c r="R49" i="5"/>
  <c r="Q49" i="5"/>
  <c r="P49" i="5"/>
  <c r="O49" i="5"/>
  <c r="N49" i="5"/>
  <c r="M49" i="5"/>
  <c r="L49" i="5"/>
  <c r="S48" i="5"/>
  <c r="R48" i="5"/>
  <c r="Q48" i="5"/>
  <c r="P48" i="5"/>
  <c r="O48" i="5"/>
  <c r="N48" i="5"/>
  <c r="M48" i="5"/>
  <c r="L48" i="5"/>
  <c r="S47" i="5"/>
  <c r="R47" i="5"/>
  <c r="Q47" i="5"/>
  <c r="P47" i="5"/>
  <c r="O47" i="5"/>
  <c r="N47" i="5"/>
  <c r="M47" i="5"/>
  <c r="L47" i="5"/>
  <c r="S46" i="5"/>
  <c r="R46" i="5"/>
  <c r="Q46" i="5"/>
  <c r="P46" i="5"/>
  <c r="O46" i="5"/>
  <c r="N46" i="5"/>
  <c r="M46" i="5"/>
  <c r="L46" i="5"/>
  <c r="S45" i="5"/>
  <c r="R45" i="5"/>
  <c r="Q45" i="5"/>
  <c r="P45" i="5"/>
  <c r="O45" i="5"/>
  <c r="N45" i="5"/>
  <c r="M45" i="5"/>
  <c r="L45" i="5"/>
  <c r="S44" i="5"/>
  <c r="R44" i="5"/>
  <c r="Q44" i="5"/>
  <c r="P44" i="5"/>
  <c r="O44" i="5"/>
  <c r="N44" i="5"/>
  <c r="M44" i="5"/>
  <c r="L44" i="5"/>
  <c r="S43" i="5"/>
  <c r="R43" i="5"/>
  <c r="Q43" i="5"/>
  <c r="P43" i="5"/>
  <c r="O43" i="5"/>
  <c r="N43" i="5"/>
  <c r="M43" i="5"/>
  <c r="L43" i="5"/>
  <c r="S42" i="5"/>
  <c r="R42" i="5"/>
  <c r="Q42" i="5"/>
  <c r="P42" i="5"/>
  <c r="O42" i="5"/>
  <c r="N42" i="5"/>
  <c r="M42" i="5"/>
  <c r="L42" i="5"/>
  <c r="S41" i="5"/>
  <c r="R41" i="5"/>
  <c r="Q41" i="5"/>
  <c r="P41" i="5"/>
  <c r="O41" i="5"/>
  <c r="N41" i="5"/>
  <c r="M41" i="5"/>
  <c r="L41" i="5"/>
  <c r="S40" i="5"/>
  <c r="R40" i="5"/>
  <c r="Q40" i="5"/>
  <c r="P40" i="5"/>
  <c r="O40" i="5"/>
  <c r="N40" i="5"/>
  <c r="M40" i="5"/>
  <c r="L40" i="5"/>
  <c r="S39" i="5"/>
  <c r="R39" i="5"/>
  <c r="Q39" i="5"/>
  <c r="P39" i="5"/>
  <c r="O39" i="5"/>
  <c r="N39" i="5"/>
  <c r="M39" i="5"/>
  <c r="L39" i="5"/>
  <c r="S38" i="5"/>
  <c r="R38" i="5"/>
  <c r="Q38" i="5"/>
  <c r="P38" i="5"/>
  <c r="O38" i="5"/>
  <c r="N38" i="5"/>
  <c r="M38" i="5"/>
  <c r="L38" i="5"/>
  <c r="S37" i="5"/>
  <c r="R37" i="5"/>
  <c r="Q37" i="5"/>
  <c r="P37" i="5"/>
  <c r="O37" i="5"/>
  <c r="N37" i="5"/>
  <c r="M37" i="5"/>
  <c r="L37" i="5"/>
  <c r="S36" i="5"/>
  <c r="R36" i="5"/>
  <c r="Q36" i="5"/>
  <c r="P36" i="5"/>
  <c r="O36" i="5"/>
  <c r="N36" i="5"/>
  <c r="M36" i="5"/>
  <c r="L36" i="5"/>
  <c r="S35" i="5"/>
  <c r="R35" i="5"/>
  <c r="Q35" i="5"/>
  <c r="P35" i="5"/>
  <c r="O35" i="5"/>
  <c r="N35" i="5"/>
  <c r="M35" i="5"/>
  <c r="L3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5" i="5"/>
  <c r="N88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65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34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5" i="4"/>
  <c r="M65" i="3"/>
  <c r="L65" i="3"/>
  <c r="N119" i="3"/>
  <c r="N118" i="3"/>
  <c r="N117" i="3"/>
  <c r="N116" i="3"/>
  <c r="N115" i="3"/>
  <c r="N114" i="3"/>
  <c r="N113" i="3"/>
  <c r="N112" i="3"/>
  <c r="N111" i="3"/>
  <c r="N110" i="3"/>
  <c r="N109" i="3"/>
  <c r="N108" i="3"/>
  <c r="N107" i="3"/>
  <c r="N106" i="3"/>
  <c r="N105" i="3"/>
  <c r="N104" i="3"/>
  <c r="N103" i="3"/>
  <c r="N102" i="3"/>
  <c r="N101" i="3"/>
  <c r="N100" i="3"/>
  <c r="N99" i="3"/>
  <c r="N98" i="3"/>
  <c r="N97" i="3"/>
  <c r="N96" i="3"/>
  <c r="N88" i="3"/>
  <c r="N87" i="3"/>
  <c r="N86" i="3"/>
  <c r="N85" i="3"/>
  <c r="N84" i="3"/>
  <c r="N83" i="3"/>
  <c r="N82" i="3"/>
  <c r="N81" i="3"/>
  <c r="N80" i="3"/>
  <c r="N79" i="3"/>
  <c r="N78" i="3"/>
  <c r="N77" i="3"/>
  <c r="N76" i="3"/>
  <c r="N75" i="3"/>
  <c r="N74" i="3"/>
  <c r="N73" i="3"/>
  <c r="N72" i="3"/>
  <c r="N71" i="3"/>
  <c r="N70" i="3"/>
  <c r="N69" i="3"/>
  <c r="N68" i="3"/>
  <c r="N67" i="3"/>
  <c r="N66" i="3"/>
  <c r="N6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35" i="3"/>
  <c r="L5" i="5"/>
  <c r="S28" i="5"/>
  <c r="R28" i="5"/>
  <c r="Q28" i="5"/>
  <c r="P28" i="5"/>
  <c r="O28" i="5"/>
  <c r="M28" i="5"/>
  <c r="L28" i="5"/>
  <c r="S27" i="5"/>
  <c r="R27" i="5"/>
  <c r="Q27" i="5"/>
  <c r="P27" i="5"/>
  <c r="O27" i="5"/>
  <c r="M27" i="5"/>
  <c r="L27" i="5"/>
  <c r="S26" i="5"/>
  <c r="R26" i="5"/>
  <c r="Q26" i="5"/>
  <c r="P26" i="5"/>
  <c r="O26" i="5"/>
  <c r="M26" i="5"/>
  <c r="L26" i="5"/>
  <c r="S25" i="5"/>
  <c r="R25" i="5"/>
  <c r="Q25" i="5"/>
  <c r="P25" i="5"/>
  <c r="O25" i="5"/>
  <c r="M25" i="5"/>
  <c r="L25" i="5"/>
  <c r="S24" i="5"/>
  <c r="R24" i="5"/>
  <c r="Q24" i="5"/>
  <c r="P24" i="5"/>
  <c r="O24" i="5"/>
  <c r="M24" i="5"/>
  <c r="L24" i="5"/>
  <c r="S23" i="5"/>
  <c r="R23" i="5"/>
  <c r="Q23" i="5"/>
  <c r="P23" i="5"/>
  <c r="O23" i="5"/>
  <c r="M23" i="5"/>
  <c r="L23" i="5"/>
  <c r="S22" i="5"/>
  <c r="R22" i="5"/>
  <c r="Q22" i="5"/>
  <c r="P22" i="5"/>
  <c r="O22" i="5"/>
  <c r="M22" i="5"/>
  <c r="L22" i="5"/>
  <c r="S21" i="5"/>
  <c r="R21" i="5"/>
  <c r="Q21" i="5"/>
  <c r="P21" i="5"/>
  <c r="O21" i="5"/>
  <c r="M21" i="5"/>
  <c r="L21" i="5"/>
  <c r="S20" i="5"/>
  <c r="R20" i="5"/>
  <c r="Q20" i="5"/>
  <c r="P20" i="5"/>
  <c r="O20" i="5"/>
  <c r="M20" i="5"/>
  <c r="L20" i="5"/>
  <c r="S19" i="5"/>
  <c r="R19" i="5"/>
  <c r="Q19" i="5"/>
  <c r="P19" i="5"/>
  <c r="O19" i="5"/>
  <c r="M19" i="5"/>
  <c r="L19" i="5"/>
  <c r="S18" i="5"/>
  <c r="R18" i="5"/>
  <c r="Q18" i="5"/>
  <c r="P18" i="5"/>
  <c r="O18" i="5"/>
  <c r="M18" i="5"/>
  <c r="L18" i="5"/>
  <c r="S17" i="5"/>
  <c r="R17" i="5"/>
  <c r="Q17" i="5"/>
  <c r="P17" i="5"/>
  <c r="O17" i="5"/>
  <c r="M17" i="5"/>
  <c r="L17" i="5"/>
  <c r="S16" i="5"/>
  <c r="R16" i="5"/>
  <c r="Q16" i="5"/>
  <c r="P16" i="5"/>
  <c r="O16" i="5"/>
  <c r="M16" i="5"/>
  <c r="L16" i="5"/>
  <c r="S15" i="5"/>
  <c r="R15" i="5"/>
  <c r="Q15" i="5"/>
  <c r="P15" i="5"/>
  <c r="O15" i="5"/>
  <c r="M15" i="5"/>
  <c r="L15" i="5"/>
  <c r="S14" i="5"/>
  <c r="R14" i="5"/>
  <c r="Q14" i="5"/>
  <c r="P14" i="5"/>
  <c r="O14" i="5"/>
  <c r="M14" i="5"/>
  <c r="L14" i="5"/>
  <c r="S13" i="5"/>
  <c r="R13" i="5"/>
  <c r="Q13" i="5"/>
  <c r="P13" i="5"/>
  <c r="O13" i="5"/>
  <c r="M13" i="5"/>
  <c r="L13" i="5"/>
  <c r="S12" i="5"/>
  <c r="R12" i="5"/>
  <c r="Q12" i="5"/>
  <c r="P12" i="5"/>
  <c r="O12" i="5"/>
  <c r="M12" i="5"/>
  <c r="L12" i="5"/>
  <c r="S11" i="5"/>
  <c r="R11" i="5"/>
  <c r="Q11" i="5"/>
  <c r="P11" i="5"/>
  <c r="O11" i="5"/>
  <c r="M11" i="5"/>
  <c r="L11" i="5"/>
  <c r="S10" i="5"/>
  <c r="R10" i="5"/>
  <c r="Q10" i="5"/>
  <c r="P10" i="5"/>
  <c r="O10" i="5"/>
  <c r="M10" i="5"/>
  <c r="L10" i="5"/>
  <c r="S9" i="5"/>
  <c r="R9" i="5"/>
  <c r="Q9" i="5"/>
  <c r="P9" i="5"/>
  <c r="O9" i="5"/>
  <c r="M9" i="5"/>
  <c r="L9" i="5"/>
  <c r="S8" i="5"/>
  <c r="R8" i="5"/>
  <c r="Q8" i="5"/>
  <c r="P8" i="5"/>
  <c r="O8" i="5"/>
  <c r="M8" i="5"/>
  <c r="L8" i="5"/>
  <c r="S7" i="5"/>
  <c r="R7" i="5"/>
  <c r="Q7" i="5"/>
  <c r="P7" i="5"/>
  <c r="O7" i="5"/>
  <c r="M7" i="5"/>
  <c r="L7" i="5"/>
  <c r="S6" i="5"/>
  <c r="R6" i="5"/>
  <c r="Q6" i="5"/>
  <c r="P6" i="5"/>
  <c r="O6" i="5"/>
  <c r="M6" i="5"/>
  <c r="L6" i="5"/>
  <c r="S5" i="5"/>
  <c r="R5" i="5"/>
  <c r="Q5" i="5"/>
  <c r="P5" i="5"/>
  <c r="O5" i="5"/>
  <c r="M5" i="5"/>
  <c r="S57" i="4"/>
  <c r="R57" i="4"/>
  <c r="Q57" i="4"/>
  <c r="P57" i="4"/>
  <c r="O57" i="4"/>
  <c r="M57" i="4"/>
  <c r="L57" i="4"/>
  <c r="S56" i="4"/>
  <c r="R56" i="4"/>
  <c r="Q56" i="4"/>
  <c r="P56" i="4"/>
  <c r="O56" i="4"/>
  <c r="M56" i="4"/>
  <c r="L56" i="4"/>
  <c r="S55" i="4"/>
  <c r="R55" i="4"/>
  <c r="Q55" i="4"/>
  <c r="P55" i="4"/>
  <c r="O55" i="4"/>
  <c r="M55" i="4"/>
  <c r="L55" i="4"/>
  <c r="S54" i="4"/>
  <c r="R54" i="4"/>
  <c r="Q54" i="4"/>
  <c r="P54" i="4"/>
  <c r="O54" i="4"/>
  <c r="M54" i="4"/>
  <c r="L54" i="4"/>
  <c r="S53" i="4"/>
  <c r="R53" i="4"/>
  <c r="Q53" i="4"/>
  <c r="P53" i="4"/>
  <c r="O53" i="4"/>
  <c r="M53" i="4"/>
  <c r="L53" i="4"/>
  <c r="S52" i="4"/>
  <c r="R52" i="4"/>
  <c r="Q52" i="4"/>
  <c r="P52" i="4"/>
  <c r="O52" i="4"/>
  <c r="M52" i="4"/>
  <c r="L52" i="4"/>
  <c r="S51" i="4"/>
  <c r="R51" i="4"/>
  <c r="Q51" i="4"/>
  <c r="P51" i="4"/>
  <c r="O51" i="4"/>
  <c r="M51" i="4"/>
  <c r="L51" i="4"/>
  <c r="S50" i="4"/>
  <c r="R50" i="4"/>
  <c r="Q50" i="4"/>
  <c r="P50" i="4"/>
  <c r="O50" i="4"/>
  <c r="M50" i="4"/>
  <c r="L50" i="4"/>
  <c r="S49" i="4"/>
  <c r="R49" i="4"/>
  <c r="Q49" i="4"/>
  <c r="P49" i="4"/>
  <c r="O49" i="4"/>
  <c r="M49" i="4"/>
  <c r="L49" i="4"/>
  <c r="S48" i="4"/>
  <c r="R48" i="4"/>
  <c r="Q48" i="4"/>
  <c r="P48" i="4"/>
  <c r="O48" i="4"/>
  <c r="M48" i="4"/>
  <c r="L48" i="4"/>
  <c r="S47" i="4"/>
  <c r="R47" i="4"/>
  <c r="Q47" i="4"/>
  <c r="P47" i="4"/>
  <c r="O47" i="4"/>
  <c r="M47" i="4"/>
  <c r="L47" i="4"/>
  <c r="S46" i="4"/>
  <c r="R46" i="4"/>
  <c r="Q46" i="4"/>
  <c r="P46" i="4"/>
  <c r="O46" i="4"/>
  <c r="M46" i="4"/>
  <c r="L46" i="4"/>
  <c r="S45" i="4"/>
  <c r="R45" i="4"/>
  <c r="Q45" i="4"/>
  <c r="P45" i="4"/>
  <c r="O45" i="4"/>
  <c r="M45" i="4"/>
  <c r="L45" i="4"/>
  <c r="S44" i="4"/>
  <c r="R44" i="4"/>
  <c r="Q44" i="4"/>
  <c r="P44" i="4"/>
  <c r="O44" i="4"/>
  <c r="M44" i="4"/>
  <c r="L44" i="4"/>
  <c r="S43" i="4"/>
  <c r="R43" i="4"/>
  <c r="Q43" i="4"/>
  <c r="P43" i="4"/>
  <c r="O43" i="4"/>
  <c r="M43" i="4"/>
  <c r="L43" i="4"/>
  <c r="S42" i="4"/>
  <c r="R42" i="4"/>
  <c r="Q42" i="4"/>
  <c r="P42" i="4"/>
  <c r="O42" i="4"/>
  <c r="M42" i="4"/>
  <c r="L42" i="4"/>
  <c r="S41" i="4"/>
  <c r="R41" i="4"/>
  <c r="Q41" i="4"/>
  <c r="P41" i="4"/>
  <c r="O41" i="4"/>
  <c r="M41" i="4"/>
  <c r="L41" i="4"/>
  <c r="S40" i="4"/>
  <c r="R40" i="4"/>
  <c r="Q40" i="4"/>
  <c r="P40" i="4"/>
  <c r="O40" i="4"/>
  <c r="M40" i="4"/>
  <c r="L40" i="4"/>
  <c r="S39" i="4"/>
  <c r="R39" i="4"/>
  <c r="Q39" i="4"/>
  <c r="P39" i="4"/>
  <c r="O39" i="4"/>
  <c r="M39" i="4"/>
  <c r="L39" i="4"/>
  <c r="S38" i="4"/>
  <c r="R38" i="4"/>
  <c r="Q38" i="4"/>
  <c r="P38" i="4"/>
  <c r="O38" i="4"/>
  <c r="M38" i="4"/>
  <c r="L38" i="4"/>
  <c r="S37" i="4"/>
  <c r="R37" i="4"/>
  <c r="Q37" i="4"/>
  <c r="P37" i="4"/>
  <c r="O37" i="4"/>
  <c r="M37" i="4"/>
  <c r="L37" i="4"/>
  <c r="S36" i="4"/>
  <c r="R36" i="4"/>
  <c r="Q36" i="4"/>
  <c r="P36" i="4"/>
  <c r="O36" i="4"/>
  <c r="M36" i="4"/>
  <c r="L36" i="4"/>
  <c r="S35" i="4"/>
  <c r="R35" i="4"/>
  <c r="Q35" i="4"/>
  <c r="P35" i="4"/>
  <c r="O35" i="4"/>
  <c r="M35" i="4"/>
  <c r="L35" i="4"/>
  <c r="S34" i="4"/>
  <c r="R34" i="4"/>
  <c r="Q34" i="4"/>
  <c r="P34" i="4"/>
  <c r="O34" i="4"/>
  <c r="M34" i="4"/>
  <c r="L34" i="4"/>
  <c r="S28" i="4"/>
  <c r="R28" i="4"/>
  <c r="Q28" i="4"/>
  <c r="P28" i="4"/>
  <c r="O28" i="4"/>
  <c r="M28" i="4"/>
  <c r="L28" i="4"/>
  <c r="S27" i="4"/>
  <c r="R27" i="4"/>
  <c r="Q27" i="4"/>
  <c r="P27" i="4"/>
  <c r="O27" i="4"/>
  <c r="M27" i="4"/>
  <c r="L27" i="4"/>
  <c r="S26" i="4"/>
  <c r="R26" i="4"/>
  <c r="Q26" i="4"/>
  <c r="P26" i="4"/>
  <c r="O26" i="4"/>
  <c r="M26" i="4"/>
  <c r="L26" i="4"/>
  <c r="S25" i="4"/>
  <c r="R25" i="4"/>
  <c r="Q25" i="4"/>
  <c r="P25" i="4"/>
  <c r="O25" i="4"/>
  <c r="M25" i="4"/>
  <c r="L25" i="4"/>
  <c r="S24" i="4"/>
  <c r="R24" i="4"/>
  <c r="Q24" i="4"/>
  <c r="P24" i="4"/>
  <c r="O24" i="4"/>
  <c r="M24" i="4"/>
  <c r="L24" i="4"/>
  <c r="S23" i="4"/>
  <c r="R23" i="4"/>
  <c r="Q23" i="4"/>
  <c r="P23" i="4"/>
  <c r="O23" i="4"/>
  <c r="M23" i="4"/>
  <c r="L23" i="4"/>
  <c r="S22" i="4"/>
  <c r="R22" i="4"/>
  <c r="Q22" i="4"/>
  <c r="P22" i="4"/>
  <c r="O22" i="4"/>
  <c r="M22" i="4"/>
  <c r="L22" i="4"/>
  <c r="S21" i="4"/>
  <c r="R21" i="4"/>
  <c r="Q21" i="4"/>
  <c r="P21" i="4"/>
  <c r="O21" i="4"/>
  <c r="M21" i="4"/>
  <c r="L21" i="4"/>
  <c r="S20" i="4"/>
  <c r="R20" i="4"/>
  <c r="Q20" i="4"/>
  <c r="P20" i="4"/>
  <c r="O20" i="4"/>
  <c r="M20" i="4"/>
  <c r="L20" i="4"/>
  <c r="S19" i="4"/>
  <c r="R19" i="4"/>
  <c r="Q19" i="4"/>
  <c r="P19" i="4"/>
  <c r="O19" i="4"/>
  <c r="M19" i="4"/>
  <c r="L19" i="4"/>
  <c r="S18" i="4"/>
  <c r="R18" i="4"/>
  <c r="Q18" i="4"/>
  <c r="P18" i="4"/>
  <c r="O18" i="4"/>
  <c r="M18" i="4"/>
  <c r="L18" i="4"/>
  <c r="S17" i="4"/>
  <c r="R17" i="4"/>
  <c r="Q17" i="4"/>
  <c r="P17" i="4"/>
  <c r="O17" i="4"/>
  <c r="M17" i="4"/>
  <c r="L17" i="4"/>
  <c r="S16" i="4"/>
  <c r="R16" i="4"/>
  <c r="Q16" i="4"/>
  <c r="P16" i="4"/>
  <c r="O16" i="4"/>
  <c r="M16" i="4"/>
  <c r="L16" i="4"/>
  <c r="S15" i="4"/>
  <c r="R15" i="4"/>
  <c r="Q15" i="4"/>
  <c r="P15" i="4"/>
  <c r="O15" i="4"/>
  <c r="M15" i="4"/>
  <c r="L15" i="4"/>
  <c r="S14" i="4"/>
  <c r="R14" i="4"/>
  <c r="Q14" i="4"/>
  <c r="P14" i="4"/>
  <c r="O14" i="4"/>
  <c r="M14" i="4"/>
  <c r="L14" i="4"/>
  <c r="S13" i="4"/>
  <c r="R13" i="4"/>
  <c r="Q13" i="4"/>
  <c r="P13" i="4"/>
  <c r="O13" i="4"/>
  <c r="M13" i="4"/>
  <c r="L13" i="4"/>
  <c r="S12" i="4"/>
  <c r="R12" i="4"/>
  <c r="Q12" i="4"/>
  <c r="P12" i="4"/>
  <c r="O12" i="4"/>
  <c r="M12" i="4"/>
  <c r="L12" i="4"/>
  <c r="S11" i="4"/>
  <c r="R11" i="4"/>
  <c r="Q11" i="4"/>
  <c r="P11" i="4"/>
  <c r="O11" i="4"/>
  <c r="M11" i="4"/>
  <c r="L11" i="4"/>
  <c r="S10" i="4"/>
  <c r="R10" i="4"/>
  <c r="Q10" i="4"/>
  <c r="P10" i="4"/>
  <c r="O10" i="4"/>
  <c r="M10" i="4"/>
  <c r="L10" i="4"/>
  <c r="S9" i="4"/>
  <c r="R9" i="4"/>
  <c r="Q9" i="4"/>
  <c r="P9" i="4"/>
  <c r="O9" i="4"/>
  <c r="M9" i="4"/>
  <c r="L9" i="4"/>
  <c r="S8" i="4"/>
  <c r="R8" i="4"/>
  <c r="Q8" i="4"/>
  <c r="P8" i="4"/>
  <c r="O8" i="4"/>
  <c r="M8" i="4"/>
  <c r="L8" i="4"/>
  <c r="S7" i="4"/>
  <c r="R7" i="4"/>
  <c r="Q7" i="4"/>
  <c r="P7" i="4"/>
  <c r="O7" i="4"/>
  <c r="M7" i="4"/>
  <c r="L7" i="4"/>
  <c r="S6" i="4"/>
  <c r="R6" i="4"/>
  <c r="Q6" i="4"/>
  <c r="P6" i="4"/>
  <c r="O6" i="4"/>
  <c r="M6" i="4"/>
  <c r="L6" i="4"/>
  <c r="S5" i="4"/>
  <c r="R5" i="4"/>
  <c r="Q5" i="4"/>
  <c r="P5" i="4"/>
  <c r="O5" i="4"/>
  <c r="M5" i="4"/>
  <c r="L5" i="4"/>
  <c r="L65" i="4"/>
  <c r="S88" i="4"/>
  <c r="R88" i="4"/>
  <c r="Q88" i="4"/>
  <c r="P88" i="4"/>
  <c r="O88" i="4"/>
  <c r="M88" i="4"/>
  <c r="L88" i="4"/>
  <c r="S87" i="4"/>
  <c r="R87" i="4"/>
  <c r="Q87" i="4"/>
  <c r="P87" i="4"/>
  <c r="O87" i="4"/>
  <c r="M87" i="4"/>
  <c r="L87" i="4"/>
  <c r="S86" i="4"/>
  <c r="R86" i="4"/>
  <c r="Q86" i="4"/>
  <c r="P86" i="4"/>
  <c r="O86" i="4"/>
  <c r="M86" i="4"/>
  <c r="L86" i="4"/>
  <c r="S85" i="4"/>
  <c r="R85" i="4"/>
  <c r="Q85" i="4"/>
  <c r="P85" i="4"/>
  <c r="O85" i="4"/>
  <c r="M85" i="4"/>
  <c r="L85" i="4"/>
  <c r="S84" i="4"/>
  <c r="R84" i="4"/>
  <c r="Q84" i="4"/>
  <c r="P84" i="4"/>
  <c r="O84" i="4"/>
  <c r="M84" i="4"/>
  <c r="L84" i="4"/>
  <c r="S83" i="4"/>
  <c r="R83" i="4"/>
  <c r="Q83" i="4"/>
  <c r="P83" i="4"/>
  <c r="O83" i="4"/>
  <c r="M83" i="4"/>
  <c r="L83" i="4"/>
  <c r="S82" i="4"/>
  <c r="R82" i="4"/>
  <c r="Q82" i="4"/>
  <c r="P82" i="4"/>
  <c r="O82" i="4"/>
  <c r="M82" i="4"/>
  <c r="L82" i="4"/>
  <c r="S81" i="4"/>
  <c r="R81" i="4"/>
  <c r="Q81" i="4"/>
  <c r="P81" i="4"/>
  <c r="O81" i="4"/>
  <c r="M81" i="4"/>
  <c r="L81" i="4"/>
  <c r="S80" i="4"/>
  <c r="R80" i="4"/>
  <c r="Q80" i="4"/>
  <c r="P80" i="4"/>
  <c r="O80" i="4"/>
  <c r="M80" i="4"/>
  <c r="L80" i="4"/>
  <c r="S79" i="4"/>
  <c r="R79" i="4"/>
  <c r="Q79" i="4"/>
  <c r="P79" i="4"/>
  <c r="O79" i="4"/>
  <c r="M79" i="4"/>
  <c r="L79" i="4"/>
  <c r="S78" i="4"/>
  <c r="R78" i="4"/>
  <c r="Q78" i="4"/>
  <c r="P78" i="4"/>
  <c r="O78" i="4"/>
  <c r="M78" i="4"/>
  <c r="L78" i="4"/>
  <c r="S77" i="4"/>
  <c r="R77" i="4"/>
  <c r="Q77" i="4"/>
  <c r="P77" i="4"/>
  <c r="O77" i="4"/>
  <c r="M77" i="4"/>
  <c r="L77" i="4"/>
  <c r="S76" i="4"/>
  <c r="R76" i="4"/>
  <c r="Q76" i="4"/>
  <c r="P76" i="4"/>
  <c r="O76" i="4"/>
  <c r="M76" i="4"/>
  <c r="L76" i="4"/>
  <c r="S75" i="4"/>
  <c r="R75" i="4"/>
  <c r="Q75" i="4"/>
  <c r="P75" i="4"/>
  <c r="O75" i="4"/>
  <c r="M75" i="4"/>
  <c r="L75" i="4"/>
  <c r="S74" i="4"/>
  <c r="R74" i="4"/>
  <c r="Q74" i="4"/>
  <c r="P74" i="4"/>
  <c r="O74" i="4"/>
  <c r="M74" i="4"/>
  <c r="L74" i="4"/>
  <c r="S73" i="4"/>
  <c r="R73" i="4"/>
  <c r="Q73" i="4"/>
  <c r="P73" i="4"/>
  <c r="O73" i="4"/>
  <c r="M73" i="4"/>
  <c r="L73" i="4"/>
  <c r="S72" i="4"/>
  <c r="R72" i="4"/>
  <c r="Q72" i="4"/>
  <c r="P72" i="4"/>
  <c r="O72" i="4"/>
  <c r="M72" i="4"/>
  <c r="L72" i="4"/>
  <c r="S71" i="4"/>
  <c r="R71" i="4"/>
  <c r="Q71" i="4"/>
  <c r="P71" i="4"/>
  <c r="O71" i="4"/>
  <c r="M71" i="4"/>
  <c r="L71" i="4"/>
  <c r="S70" i="4"/>
  <c r="R70" i="4"/>
  <c r="Q70" i="4"/>
  <c r="P70" i="4"/>
  <c r="O70" i="4"/>
  <c r="M70" i="4"/>
  <c r="L70" i="4"/>
  <c r="S69" i="4"/>
  <c r="R69" i="4"/>
  <c r="Q69" i="4"/>
  <c r="P69" i="4"/>
  <c r="O69" i="4"/>
  <c r="M69" i="4"/>
  <c r="L69" i="4"/>
  <c r="S68" i="4"/>
  <c r="R68" i="4"/>
  <c r="Q68" i="4"/>
  <c r="P68" i="4"/>
  <c r="O68" i="4"/>
  <c r="M68" i="4"/>
  <c r="L68" i="4"/>
  <c r="S67" i="4"/>
  <c r="R67" i="4"/>
  <c r="Q67" i="4"/>
  <c r="P67" i="4"/>
  <c r="O67" i="4"/>
  <c r="M67" i="4"/>
  <c r="L67" i="4"/>
  <c r="S66" i="4"/>
  <c r="R66" i="4"/>
  <c r="Q66" i="4"/>
  <c r="P66" i="4"/>
  <c r="O66" i="4"/>
  <c r="M66" i="4"/>
  <c r="L66" i="4"/>
  <c r="S65" i="4"/>
  <c r="R65" i="4"/>
  <c r="Q65" i="4"/>
  <c r="P65" i="4"/>
  <c r="O65" i="4"/>
  <c r="M65" i="4"/>
  <c r="S88" i="3"/>
  <c r="R88" i="3"/>
  <c r="Q88" i="3"/>
  <c r="P88" i="3"/>
  <c r="O88" i="3"/>
  <c r="M88" i="3"/>
  <c r="L88" i="3"/>
  <c r="S87" i="3"/>
  <c r="R87" i="3"/>
  <c r="Q87" i="3"/>
  <c r="P87" i="3"/>
  <c r="O87" i="3"/>
  <c r="M87" i="3"/>
  <c r="L87" i="3"/>
  <c r="S86" i="3"/>
  <c r="R86" i="3"/>
  <c r="Q86" i="3"/>
  <c r="P86" i="3"/>
  <c r="O86" i="3"/>
  <c r="M86" i="3"/>
  <c r="L86" i="3"/>
  <c r="S85" i="3"/>
  <c r="R85" i="3"/>
  <c r="Q85" i="3"/>
  <c r="P85" i="3"/>
  <c r="O85" i="3"/>
  <c r="M85" i="3"/>
  <c r="L85" i="3"/>
  <c r="S84" i="3"/>
  <c r="R84" i="3"/>
  <c r="Q84" i="3"/>
  <c r="P84" i="3"/>
  <c r="O84" i="3"/>
  <c r="M84" i="3"/>
  <c r="L84" i="3"/>
  <c r="S83" i="3"/>
  <c r="R83" i="3"/>
  <c r="Q83" i="3"/>
  <c r="P83" i="3"/>
  <c r="O83" i="3"/>
  <c r="M83" i="3"/>
  <c r="L83" i="3"/>
  <c r="S82" i="3"/>
  <c r="R82" i="3"/>
  <c r="Q82" i="3"/>
  <c r="P82" i="3"/>
  <c r="O82" i="3"/>
  <c r="M82" i="3"/>
  <c r="L82" i="3"/>
  <c r="S81" i="3"/>
  <c r="R81" i="3"/>
  <c r="Q81" i="3"/>
  <c r="P81" i="3"/>
  <c r="O81" i="3"/>
  <c r="M81" i="3"/>
  <c r="L81" i="3"/>
  <c r="S80" i="3"/>
  <c r="R80" i="3"/>
  <c r="Q80" i="3"/>
  <c r="P80" i="3"/>
  <c r="O80" i="3"/>
  <c r="M80" i="3"/>
  <c r="L80" i="3"/>
  <c r="S79" i="3"/>
  <c r="R79" i="3"/>
  <c r="Q79" i="3"/>
  <c r="P79" i="3"/>
  <c r="O79" i="3"/>
  <c r="M79" i="3"/>
  <c r="L79" i="3"/>
  <c r="S78" i="3"/>
  <c r="R78" i="3"/>
  <c r="Q78" i="3"/>
  <c r="P78" i="3"/>
  <c r="O78" i="3"/>
  <c r="M78" i="3"/>
  <c r="L78" i="3"/>
  <c r="S77" i="3"/>
  <c r="R77" i="3"/>
  <c r="Q77" i="3"/>
  <c r="P77" i="3"/>
  <c r="O77" i="3"/>
  <c r="M77" i="3"/>
  <c r="L77" i="3"/>
  <c r="S76" i="3"/>
  <c r="R76" i="3"/>
  <c r="Q76" i="3"/>
  <c r="P76" i="3"/>
  <c r="O76" i="3"/>
  <c r="M76" i="3"/>
  <c r="L76" i="3"/>
  <c r="S75" i="3"/>
  <c r="R75" i="3"/>
  <c r="Q75" i="3"/>
  <c r="P75" i="3"/>
  <c r="O75" i="3"/>
  <c r="M75" i="3"/>
  <c r="L75" i="3"/>
  <c r="S74" i="3"/>
  <c r="R74" i="3"/>
  <c r="Q74" i="3"/>
  <c r="P74" i="3"/>
  <c r="O74" i="3"/>
  <c r="M74" i="3"/>
  <c r="L74" i="3"/>
  <c r="S73" i="3"/>
  <c r="R73" i="3"/>
  <c r="Q73" i="3"/>
  <c r="P73" i="3"/>
  <c r="O73" i="3"/>
  <c r="M73" i="3"/>
  <c r="L73" i="3"/>
  <c r="S72" i="3"/>
  <c r="R72" i="3"/>
  <c r="Q72" i="3"/>
  <c r="P72" i="3"/>
  <c r="O72" i="3"/>
  <c r="M72" i="3"/>
  <c r="L72" i="3"/>
  <c r="S71" i="3"/>
  <c r="R71" i="3"/>
  <c r="Q71" i="3"/>
  <c r="P71" i="3"/>
  <c r="O71" i="3"/>
  <c r="M71" i="3"/>
  <c r="L71" i="3"/>
  <c r="S70" i="3"/>
  <c r="R70" i="3"/>
  <c r="Q70" i="3"/>
  <c r="P70" i="3"/>
  <c r="O70" i="3"/>
  <c r="M70" i="3"/>
  <c r="L70" i="3"/>
  <c r="S69" i="3"/>
  <c r="R69" i="3"/>
  <c r="Q69" i="3"/>
  <c r="P69" i="3"/>
  <c r="O69" i="3"/>
  <c r="M69" i="3"/>
  <c r="L69" i="3"/>
  <c r="S68" i="3"/>
  <c r="R68" i="3"/>
  <c r="Q68" i="3"/>
  <c r="P68" i="3"/>
  <c r="O68" i="3"/>
  <c r="M68" i="3"/>
  <c r="L68" i="3"/>
  <c r="S67" i="3"/>
  <c r="R67" i="3"/>
  <c r="Q67" i="3"/>
  <c r="P67" i="3"/>
  <c r="O67" i="3"/>
  <c r="M67" i="3"/>
  <c r="L67" i="3"/>
  <c r="S66" i="3"/>
  <c r="R66" i="3"/>
  <c r="Q66" i="3"/>
  <c r="P66" i="3"/>
  <c r="O66" i="3"/>
  <c r="M66" i="3"/>
  <c r="L66" i="3"/>
  <c r="S65" i="3"/>
  <c r="R65" i="3"/>
  <c r="Q65" i="3"/>
  <c r="P65" i="3"/>
  <c r="O6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35" i="3"/>
  <c r="S58" i="3"/>
  <c r="R58" i="3"/>
  <c r="Q58" i="3"/>
  <c r="P58" i="3"/>
  <c r="O58" i="3"/>
  <c r="L58" i="3"/>
  <c r="S57" i="3"/>
  <c r="R57" i="3"/>
  <c r="Q57" i="3"/>
  <c r="P57" i="3"/>
  <c r="O57" i="3"/>
  <c r="L57" i="3"/>
  <c r="S56" i="3"/>
  <c r="R56" i="3"/>
  <c r="Q56" i="3"/>
  <c r="P56" i="3"/>
  <c r="O56" i="3"/>
  <c r="L56" i="3"/>
  <c r="S55" i="3"/>
  <c r="R55" i="3"/>
  <c r="Q55" i="3"/>
  <c r="P55" i="3"/>
  <c r="O55" i="3"/>
  <c r="L55" i="3"/>
  <c r="S54" i="3"/>
  <c r="R54" i="3"/>
  <c r="Q54" i="3"/>
  <c r="P54" i="3"/>
  <c r="O54" i="3"/>
  <c r="L54" i="3"/>
  <c r="S53" i="3"/>
  <c r="R53" i="3"/>
  <c r="Q53" i="3"/>
  <c r="P53" i="3"/>
  <c r="O53" i="3"/>
  <c r="L53" i="3"/>
  <c r="S52" i="3"/>
  <c r="R52" i="3"/>
  <c r="Q52" i="3"/>
  <c r="P52" i="3"/>
  <c r="O52" i="3"/>
  <c r="L52" i="3"/>
  <c r="S51" i="3"/>
  <c r="R51" i="3"/>
  <c r="Q51" i="3"/>
  <c r="P51" i="3"/>
  <c r="O51" i="3"/>
  <c r="L51" i="3"/>
  <c r="S50" i="3"/>
  <c r="R50" i="3"/>
  <c r="Q50" i="3"/>
  <c r="P50" i="3"/>
  <c r="O50" i="3"/>
  <c r="L50" i="3"/>
  <c r="S49" i="3"/>
  <c r="R49" i="3"/>
  <c r="Q49" i="3"/>
  <c r="P49" i="3"/>
  <c r="O49" i="3"/>
  <c r="L49" i="3"/>
  <c r="S48" i="3"/>
  <c r="R48" i="3"/>
  <c r="Q48" i="3"/>
  <c r="P48" i="3"/>
  <c r="O48" i="3"/>
  <c r="L48" i="3"/>
  <c r="S47" i="3"/>
  <c r="R47" i="3"/>
  <c r="Q47" i="3"/>
  <c r="P47" i="3"/>
  <c r="O47" i="3"/>
  <c r="L47" i="3"/>
  <c r="S46" i="3"/>
  <c r="R46" i="3"/>
  <c r="Q46" i="3"/>
  <c r="P46" i="3"/>
  <c r="O46" i="3"/>
  <c r="L46" i="3"/>
  <c r="S45" i="3"/>
  <c r="R45" i="3"/>
  <c r="Q45" i="3"/>
  <c r="P45" i="3"/>
  <c r="O45" i="3"/>
  <c r="L45" i="3"/>
  <c r="S44" i="3"/>
  <c r="R44" i="3"/>
  <c r="Q44" i="3"/>
  <c r="P44" i="3"/>
  <c r="O44" i="3"/>
  <c r="L44" i="3"/>
  <c r="S43" i="3"/>
  <c r="R43" i="3"/>
  <c r="Q43" i="3"/>
  <c r="P43" i="3"/>
  <c r="O43" i="3"/>
  <c r="L43" i="3"/>
  <c r="S42" i="3"/>
  <c r="R42" i="3"/>
  <c r="Q42" i="3"/>
  <c r="P42" i="3"/>
  <c r="O42" i="3"/>
  <c r="L42" i="3"/>
  <c r="S41" i="3"/>
  <c r="R41" i="3"/>
  <c r="Q41" i="3"/>
  <c r="P41" i="3"/>
  <c r="O41" i="3"/>
  <c r="L41" i="3"/>
  <c r="S40" i="3"/>
  <c r="R40" i="3"/>
  <c r="Q40" i="3"/>
  <c r="P40" i="3"/>
  <c r="O40" i="3"/>
  <c r="L40" i="3"/>
  <c r="S39" i="3"/>
  <c r="R39" i="3"/>
  <c r="Q39" i="3"/>
  <c r="P39" i="3"/>
  <c r="O39" i="3"/>
  <c r="L39" i="3"/>
  <c r="S38" i="3"/>
  <c r="R38" i="3"/>
  <c r="Q38" i="3"/>
  <c r="P38" i="3"/>
  <c r="O38" i="3"/>
  <c r="L38" i="3"/>
  <c r="S37" i="3"/>
  <c r="R37" i="3"/>
  <c r="Q37" i="3"/>
  <c r="P37" i="3"/>
  <c r="O37" i="3"/>
  <c r="L37" i="3"/>
  <c r="S36" i="3"/>
  <c r="R36" i="3"/>
  <c r="Q36" i="3"/>
  <c r="P36" i="3"/>
  <c r="O36" i="3"/>
  <c r="L36" i="3"/>
  <c r="S35" i="3"/>
  <c r="R35" i="3"/>
  <c r="Q35" i="3"/>
  <c r="P35" i="3"/>
  <c r="O35" i="3"/>
  <c r="L35" i="3"/>
  <c r="L5" i="3"/>
  <c r="R6" i="3"/>
  <c r="S6" i="3"/>
  <c r="R7" i="3"/>
  <c r="S7" i="3"/>
  <c r="R8" i="3"/>
  <c r="S8" i="3"/>
  <c r="R9" i="3"/>
  <c r="S9" i="3"/>
  <c r="R10" i="3"/>
  <c r="S10" i="3"/>
  <c r="R11" i="3"/>
  <c r="S11" i="3"/>
  <c r="R12" i="3"/>
  <c r="S12" i="3"/>
  <c r="R13" i="3"/>
  <c r="S13" i="3"/>
  <c r="R14" i="3"/>
  <c r="S14" i="3"/>
  <c r="R15" i="3"/>
  <c r="S15" i="3"/>
  <c r="R16" i="3"/>
  <c r="S16" i="3"/>
  <c r="R17" i="3"/>
  <c r="S17" i="3"/>
  <c r="R18" i="3"/>
  <c r="S18" i="3"/>
  <c r="R19" i="3"/>
  <c r="S19" i="3"/>
  <c r="R20" i="3"/>
  <c r="S20" i="3"/>
  <c r="R21" i="3"/>
  <c r="S21" i="3"/>
  <c r="R22" i="3"/>
  <c r="S22" i="3"/>
  <c r="R23" i="3"/>
  <c r="S23" i="3"/>
  <c r="R24" i="3"/>
  <c r="S24" i="3"/>
  <c r="R25" i="3"/>
  <c r="S25" i="3"/>
  <c r="R26" i="3"/>
  <c r="S26" i="3"/>
  <c r="R27" i="3"/>
  <c r="S27" i="3"/>
  <c r="R28" i="3"/>
  <c r="S28" i="3"/>
  <c r="S5" i="3"/>
  <c r="R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5" i="3"/>
  <c r="BM7" i="1"/>
  <c r="BM8" i="1"/>
  <c r="BM9" i="1"/>
  <c r="BM10" i="1"/>
  <c r="BM11" i="1"/>
  <c r="BM12" i="1"/>
  <c r="BM13" i="1"/>
  <c r="BM14" i="1"/>
  <c r="BM15" i="1"/>
  <c r="BM16" i="1"/>
  <c r="BM17" i="1"/>
  <c r="BM18" i="1"/>
  <c r="BM19" i="1"/>
  <c r="BM20" i="1"/>
  <c r="BM21" i="1"/>
  <c r="BM22" i="1"/>
  <c r="BM23" i="1"/>
  <c r="BM24" i="1"/>
  <c r="BM25" i="1"/>
  <c r="BM26" i="1"/>
  <c r="BM27" i="1"/>
  <c r="BM28" i="1"/>
  <c r="BM29" i="1"/>
  <c r="BM6" i="1"/>
  <c r="AO7" i="1"/>
  <c r="AP7" i="1" s="1"/>
  <c r="BF7" i="1" s="1"/>
  <c r="AO8" i="1"/>
  <c r="AP8" i="1" s="1"/>
  <c r="BF8" i="1" s="1"/>
  <c r="AO9" i="1"/>
  <c r="AP9" i="1" s="1"/>
  <c r="BF9" i="1" s="1"/>
  <c r="AO10" i="1"/>
  <c r="AP10" i="1"/>
  <c r="AO11" i="1"/>
  <c r="AP11" i="1" s="1"/>
  <c r="BF11" i="1" s="1"/>
  <c r="AO12" i="1"/>
  <c r="AP12" i="1" s="1"/>
  <c r="BF12" i="1" s="1"/>
  <c r="AO13" i="1"/>
  <c r="AP13" i="1" s="1"/>
  <c r="BF13" i="1" s="1"/>
  <c r="AO14" i="1"/>
  <c r="AP14" i="1"/>
  <c r="BF14" i="1" s="1"/>
  <c r="AO15" i="1"/>
  <c r="AP15" i="1" s="1"/>
  <c r="BF15" i="1" s="1"/>
  <c r="AO16" i="1"/>
  <c r="AP16" i="1" s="1"/>
  <c r="BF16" i="1" s="1"/>
  <c r="AO17" i="1"/>
  <c r="AP17" i="1" s="1"/>
  <c r="BF17" i="1" s="1"/>
  <c r="AO18" i="1"/>
  <c r="AP18" i="1"/>
  <c r="BF18" i="1" s="1"/>
  <c r="AO19" i="1"/>
  <c r="AP19" i="1" s="1"/>
  <c r="BF19" i="1" s="1"/>
  <c r="AO20" i="1"/>
  <c r="AP20" i="1" s="1"/>
  <c r="BF20" i="1" s="1"/>
  <c r="AO21" i="1"/>
  <c r="AP21" i="1" s="1"/>
  <c r="BF21" i="1" s="1"/>
  <c r="AO22" i="1"/>
  <c r="AP22" i="1"/>
  <c r="AO23" i="1"/>
  <c r="AP23" i="1" s="1"/>
  <c r="BF23" i="1" s="1"/>
  <c r="AO24" i="1"/>
  <c r="AP24" i="1" s="1"/>
  <c r="BF24" i="1" s="1"/>
  <c r="AO25" i="1"/>
  <c r="AP25" i="1" s="1"/>
  <c r="BF25" i="1" s="1"/>
  <c r="AO26" i="1"/>
  <c r="AP26" i="1"/>
  <c r="AO27" i="1"/>
  <c r="AP27" i="1" s="1"/>
  <c r="BF27" i="1" s="1"/>
  <c r="AO28" i="1"/>
  <c r="AP28" i="1" s="1"/>
  <c r="BF28" i="1" s="1"/>
  <c r="AO29" i="1"/>
  <c r="AP29" i="1" s="1"/>
  <c r="BF29" i="1" s="1"/>
  <c r="AF7" i="1"/>
  <c r="AG7" i="1"/>
  <c r="AF8" i="1"/>
  <c r="AG8" i="1" s="1"/>
  <c r="BE8" i="1" s="1"/>
  <c r="AF9" i="1"/>
  <c r="AG9" i="1"/>
  <c r="AF10" i="1"/>
  <c r="AG10" i="1"/>
  <c r="BE10" i="1" s="1"/>
  <c r="AF11" i="1"/>
  <c r="AG11" i="1"/>
  <c r="BE11" i="1" s="1"/>
  <c r="AF12" i="1"/>
  <c r="AG12" i="1" s="1"/>
  <c r="BE12" i="1" s="1"/>
  <c r="AF13" i="1"/>
  <c r="AG13" i="1"/>
  <c r="BE13" i="1" s="1"/>
  <c r="AF14" i="1"/>
  <c r="AG14" i="1"/>
  <c r="AF15" i="1"/>
  <c r="AG15" i="1"/>
  <c r="BE15" i="1" s="1"/>
  <c r="AF16" i="1"/>
  <c r="AG16" i="1" s="1"/>
  <c r="BE16" i="1" s="1"/>
  <c r="AF17" i="1"/>
  <c r="AG17" i="1"/>
  <c r="BE17" i="1" s="1"/>
  <c r="AF18" i="1"/>
  <c r="AG18" i="1"/>
  <c r="BE18" i="1" s="1"/>
  <c r="AF19" i="1"/>
  <c r="AG19" i="1"/>
  <c r="AF20" i="1"/>
  <c r="AG20" i="1" s="1"/>
  <c r="BE20" i="1" s="1"/>
  <c r="AF21" i="1"/>
  <c r="AG21" i="1"/>
  <c r="AF22" i="1"/>
  <c r="AG22" i="1"/>
  <c r="BE22" i="1" s="1"/>
  <c r="AF23" i="1"/>
  <c r="AG23" i="1"/>
  <c r="BE23" i="1" s="1"/>
  <c r="AF24" i="1"/>
  <c r="AG24" i="1" s="1"/>
  <c r="BE24" i="1" s="1"/>
  <c r="AF25" i="1"/>
  <c r="AG25" i="1"/>
  <c r="BE25" i="1" s="1"/>
  <c r="AF26" i="1"/>
  <c r="AG26" i="1"/>
  <c r="AF27" i="1"/>
  <c r="AG27" i="1"/>
  <c r="AF28" i="1"/>
  <c r="AG28" i="1" s="1"/>
  <c r="BE28" i="1" s="1"/>
  <c r="AF29" i="1"/>
  <c r="AG29" i="1"/>
  <c r="BE29" i="1" s="1"/>
  <c r="AF6" i="1"/>
  <c r="U7" i="1"/>
  <c r="V7" i="1" s="1"/>
  <c r="BD7" i="1" s="1"/>
  <c r="U8" i="1"/>
  <c r="V8" i="1" s="1"/>
  <c r="BD8" i="1" s="1"/>
  <c r="U9" i="1"/>
  <c r="V9" i="1"/>
  <c r="BD9" i="1" s="1"/>
  <c r="U10" i="1"/>
  <c r="V10" i="1"/>
  <c r="BD10" i="1" s="1"/>
  <c r="U11" i="1"/>
  <c r="V11" i="1" s="1"/>
  <c r="BD11" i="1" s="1"/>
  <c r="U12" i="1"/>
  <c r="V12" i="1" s="1"/>
  <c r="BD12" i="1" s="1"/>
  <c r="U13" i="1"/>
  <c r="V13" i="1"/>
  <c r="BD13" i="1" s="1"/>
  <c r="U14" i="1"/>
  <c r="V14" i="1"/>
  <c r="BD14" i="1" s="1"/>
  <c r="U15" i="1"/>
  <c r="V15" i="1" s="1"/>
  <c r="BD15" i="1" s="1"/>
  <c r="U16" i="1"/>
  <c r="V16" i="1" s="1"/>
  <c r="BD16" i="1" s="1"/>
  <c r="U17" i="1"/>
  <c r="V17" i="1"/>
  <c r="U18" i="1"/>
  <c r="V18" i="1"/>
  <c r="BD18" i="1" s="1"/>
  <c r="U19" i="1"/>
  <c r="V19" i="1" s="1"/>
  <c r="BD19" i="1" s="1"/>
  <c r="U20" i="1"/>
  <c r="V20" i="1" s="1"/>
  <c r="BD20" i="1" s="1"/>
  <c r="U21" i="1"/>
  <c r="V21" i="1"/>
  <c r="BD21" i="1" s="1"/>
  <c r="U22" i="1"/>
  <c r="V22" i="1"/>
  <c r="BD22" i="1" s="1"/>
  <c r="U23" i="1"/>
  <c r="V23" i="1" s="1"/>
  <c r="BD23" i="1" s="1"/>
  <c r="U24" i="1"/>
  <c r="V24" i="1" s="1"/>
  <c r="BD24" i="1" s="1"/>
  <c r="U25" i="1"/>
  <c r="V25" i="1"/>
  <c r="BD25" i="1" s="1"/>
  <c r="U26" i="1"/>
  <c r="V26" i="1"/>
  <c r="BD26" i="1" s="1"/>
  <c r="U27" i="1"/>
  <c r="V27" i="1" s="1"/>
  <c r="BD27" i="1" s="1"/>
  <c r="U28" i="1"/>
  <c r="V28" i="1" s="1"/>
  <c r="BD28" i="1" s="1"/>
  <c r="U29" i="1"/>
  <c r="V29" i="1"/>
  <c r="BD29" i="1" s="1"/>
  <c r="J7" i="1"/>
  <c r="K7" i="1"/>
  <c r="BC7" i="1" s="1"/>
  <c r="J8" i="1"/>
  <c r="K8" i="1" s="1"/>
  <c r="BC8" i="1" s="1"/>
  <c r="J9" i="1"/>
  <c r="K9" i="1"/>
  <c r="BC9" i="1" s="1"/>
  <c r="J10" i="1"/>
  <c r="K10" i="1"/>
  <c r="J11" i="1"/>
  <c r="K11" i="1"/>
  <c r="BC11" i="1" s="1"/>
  <c r="BH11" i="1" s="1"/>
  <c r="J12" i="1"/>
  <c r="K12" i="1" s="1"/>
  <c r="BC12" i="1" s="1"/>
  <c r="J13" i="1"/>
  <c r="K13" i="1"/>
  <c r="BC13" i="1" s="1"/>
  <c r="J14" i="1"/>
  <c r="K14" i="1"/>
  <c r="J15" i="1"/>
  <c r="K15" i="1"/>
  <c r="BC15" i="1" s="1"/>
  <c r="J16" i="1"/>
  <c r="K16" i="1" s="1"/>
  <c r="BC16" i="1" s="1"/>
  <c r="BH16" i="1" s="1"/>
  <c r="J17" i="1"/>
  <c r="K17" i="1"/>
  <c r="BC17" i="1" s="1"/>
  <c r="J18" i="1"/>
  <c r="K18" i="1"/>
  <c r="J19" i="1"/>
  <c r="K19" i="1"/>
  <c r="BC19" i="1" s="1"/>
  <c r="BH19" i="1" s="1"/>
  <c r="J20" i="1"/>
  <c r="K20" i="1" s="1"/>
  <c r="BC20" i="1" s="1"/>
  <c r="J21" i="1"/>
  <c r="K21" i="1"/>
  <c r="BC21" i="1" s="1"/>
  <c r="J22" i="1"/>
  <c r="K22" i="1"/>
  <c r="J23" i="1"/>
  <c r="K23" i="1"/>
  <c r="BC23" i="1" s="1"/>
  <c r="BH23" i="1" s="1"/>
  <c r="J24" i="1"/>
  <c r="K24" i="1" s="1"/>
  <c r="BC24" i="1" s="1"/>
  <c r="BH24" i="1" s="1"/>
  <c r="J25" i="1"/>
  <c r="K25" i="1"/>
  <c r="BC25" i="1" s="1"/>
  <c r="J26" i="1"/>
  <c r="K26" i="1"/>
  <c r="J27" i="1"/>
  <c r="K27" i="1"/>
  <c r="BC27" i="1" s="1"/>
  <c r="BH27" i="1" s="1"/>
  <c r="J28" i="1"/>
  <c r="K28" i="1" s="1"/>
  <c r="BC28" i="1" s="1"/>
  <c r="J29" i="1"/>
  <c r="K29" i="1"/>
  <c r="BC29" i="1" s="1"/>
  <c r="BE7" i="1"/>
  <c r="BE9" i="1"/>
  <c r="BC10" i="1"/>
  <c r="BF10" i="1"/>
  <c r="BC14" i="1"/>
  <c r="BE14" i="1"/>
  <c r="BD17" i="1"/>
  <c r="BC18" i="1"/>
  <c r="BE19" i="1"/>
  <c r="BE21" i="1"/>
  <c r="BC22" i="1"/>
  <c r="BF22" i="1"/>
  <c r="BC26" i="1"/>
  <c r="BH26" i="1" s="1"/>
  <c r="BE26" i="1"/>
  <c r="BF26" i="1"/>
  <c r="BE27" i="1"/>
  <c r="BF6" i="1"/>
  <c r="BE6" i="1"/>
  <c r="BD6" i="1"/>
  <c r="BC6" i="1"/>
  <c r="AP6" i="1"/>
  <c r="AG6" i="1"/>
  <c r="K6" i="1"/>
  <c r="AO6" i="1"/>
  <c r="V6" i="1"/>
  <c r="I6" i="1"/>
  <c r="U6" i="1"/>
  <c r="J6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7" i="1"/>
  <c r="I8" i="1"/>
  <c r="I9" i="1"/>
  <c r="I10" i="1"/>
  <c r="I11" i="1"/>
  <c r="BH5" i="1"/>
  <c r="AN6" i="1"/>
  <c r="AS7" i="1"/>
  <c r="AS8" i="1"/>
  <c r="AS9" i="1"/>
  <c r="AS10" i="1"/>
  <c r="AS11" i="1"/>
  <c r="AS12" i="1"/>
  <c r="AS13" i="1"/>
  <c r="AS14" i="1"/>
  <c r="AS15" i="1"/>
  <c r="AS16" i="1"/>
  <c r="AS17" i="1"/>
  <c r="AS18" i="1"/>
  <c r="AS19" i="1"/>
  <c r="AS20" i="1"/>
  <c r="AS21" i="1"/>
  <c r="AS22" i="1"/>
  <c r="AS23" i="1"/>
  <c r="AS24" i="1"/>
  <c r="AS25" i="1"/>
  <c r="AS26" i="1"/>
  <c r="AS27" i="1"/>
  <c r="AS28" i="1"/>
  <c r="AS29" i="1"/>
  <c r="AS6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BJ19" i="1" s="1"/>
  <c r="AE20" i="1"/>
  <c r="AE21" i="1"/>
  <c r="AE22" i="1"/>
  <c r="AE23" i="1"/>
  <c r="AE24" i="1"/>
  <c r="AE25" i="1"/>
  <c r="AE26" i="1"/>
  <c r="AE27" i="1"/>
  <c r="AE28" i="1"/>
  <c r="AE29" i="1"/>
  <c r="AE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6" i="1"/>
  <c r="BH18" i="1"/>
  <c r="BK21" i="1" l="1"/>
  <c r="BK27" i="1"/>
  <c r="BK19" i="1"/>
  <c r="BK11" i="1"/>
  <c r="BK18" i="1"/>
  <c r="BK10" i="1"/>
  <c r="BK9" i="1"/>
  <c r="BK29" i="1"/>
  <c r="BK26" i="1"/>
  <c r="BK25" i="1"/>
  <c r="BK17" i="1"/>
  <c r="BK24" i="1"/>
  <c r="BK16" i="1"/>
  <c r="BK8" i="1"/>
  <c r="BK13" i="1"/>
  <c r="BK23" i="1"/>
  <c r="BK15" i="1"/>
  <c r="BK7" i="1"/>
  <c r="BJ28" i="1"/>
  <c r="BJ20" i="1"/>
  <c r="BJ12" i="1"/>
  <c r="BJ26" i="1"/>
  <c r="BJ10" i="1"/>
  <c r="BJ18" i="1"/>
  <c r="BJ27" i="1"/>
  <c r="BJ11" i="1"/>
  <c r="BJ24" i="1"/>
  <c r="BJ16" i="1"/>
  <c r="BJ8" i="1"/>
  <c r="BJ22" i="1"/>
  <c r="BJ14" i="1"/>
  <c r="BI14" i="1"/>
  <c r="BI22" i="1"/>
  <c r="BI24" i="1"/>
  <c r="BI16" i="1"/>
  <c r="BI27" i="1"/>
  <c r="BI19" i="1"/>
  <c r="BI11" i="1"/>
  <c r="BI8" i="1"/>
  <c r="BI26" i="1"/>
  <c r="BI18" i="1"/>
  <c r="BI10" i="1"/>
  <c r="BH22" i="1"/>
  <c r="BH21" i="1"/>
  <c r="BH12" i="1"/>
  <c r="BH20" i="1"/>
  <c r="BH14" i="1"/>
  <c r="BH13" i="1"/>
  <c r="BH28" i="1"/>
  <c r="BH10" i="1"/>
  <c r="BH8" i="1"/>
  <c r="BH29" i="1"/>
  <c r="BJ25" i="1"/>
  <c r="BI23" i="1"/>
  <c r="BI15" i="1"/>
  <c r="BI7" i="1"/>
  <c r="BJ23" i="1"/>
  <c r="BJ15" i="1"/>
  <c r="BJ7" i="1"/>
  <c r="BK22" i="1"/>
  <c r="BK14" i="1"/>
  <c r="BH25" i="1"/>
  <c r="BH17" i="1"/>
  <c r="BI17" i="1"/>
  <c r="BI25" i="1"/>
  <c r="BJ17" i="1"/>
  <c r="BJ9" i="1"/>
  <c r="BH9" i="1"/>
  <c r="BI29" i="1"/>
  <c r="BI21" i="1"/>
  <c r="BI13" i="1"/>
  <c r="BJ29" i="1"/>
  <c r="BJ21" i="1"/>
  <c r="BJ13" i="1"/>
  <c r="BK28" i="1"/>
  <c r="BK20" i="1"/>
  <c r="BK12" i="1"/>
  <c r="BH15" i="1"/>
  <c r="BI28" i="1"/>
  <c r="BI20" i="1"/>
  <c r="BI12" i="1"/>
  <c r="BH7" i="1"/>
  <c r="BI9" i="1"/>
  <c r="BK6" i="1"/>
  <c r="BJ6" i="1"/>
  <c r="BI6" i="1"/>
  <c r="BH6" i="1"/>
</calcChain>
</file>

<file path=xl/sharedStrings.xml><?xml version="1.0" encoding="utf-8"?>
<sst xmlns="http://schemas.openxmlformats.org/spreadsheetml/2006/main" count="463" uniqueCount="87">
  <si>
    <t>Dry: Hr 1-2</t>
  </si>
  <si>
    <t>Dry: Hr 3-4</t>
  </si>
  <si>
    <t>Dry: Hr 5-6</t>
  </si>
  <si>
    <t>Dry: Hr 7-8</t>
  </si>
  <si>
    <t>Dry: Hr 9-10</t>
  </si>
  <si>
    <t>Dry: Hr 11-12</t>
  </si>
  <si>
    <t>Dry: Hr 13-14</t>
  </si>
  <si>
    <t>Dry: Hr 15-16</t>
  </si>
  <si>
    <t>Dry: Hr 17-18</t>
  </si>
  <si>
    <t>Dry: Hr 19-20</t>
  </si>
  <si>
    <t>Dry: Hr 21-22</t>
  </si>
  <si>
    <t>Dry: Hr 23-24</t>
  </si>
  <si>
    <t>Wet: Hr 1-2</t>
  </si>
  <si>
    <t>Wet: Hr 3-4</t>
  </si>
  <si>
    <t>Wet: Hr 5-6</t>
  </si>
  <si>
    <t>Wet: Hr 7-8</t>
  </si>
  <si>
    <t>Wet: Hr 9-10</t>
  </si>
  <si>
    <t>Wet: Hr 11-12</t>
  </si>
  <si>
    <t>Wet: Hr 13-14</t>
  </si>
  <si>
    <t>Wet: Hr 15-16</t>
  </si>
  <si>
    <t>Wet: Hr 17-18</t>
  </si>
  <si>
    <t>Wet: Hr 19-20</t>
  </si>
  <si>
    <t>Wet: Hr 21-22</t>
  </si>
  <si>
    <t>Wet: Hr 23-24</t>
  </si>
  <si>
    <t>Power Load Shape</t>
  </si>
  <si>
    <t>NORTE</t>
  </si>
  <si>
    <t>CENTRAL</t>
  </si>
  <si>
    <t>ORIENTAL</t>
  </si>
  <si>
    <t>SUR</t>
  </si>
  <si>
    <t>PANDO</t>
  </si>
  <si>
    <t>Power Generation</t>
  </si>
  <si>
    <t>CC_ex</t>
  </si>
  <si>
    <t>Solar_ex</t>
  </si>
  <si>
    <t>Solar_nv</t>
  </si>
  <si>
    <t>Hidroelectrica_ex</t>
  </si>
  <si>
    <t>Total</t>
  </si>
  <si>
    <t>TV_ex</t>
  </si>
  <si>
    <t>Eolica_ex</t>
  </si>
  <si>
    <t>Eolica_nuevas_SC</t>
  </si>
  <si>
    <t>Hidro Rositas</t>
  </si>
  <si>
    <t>Hidro Otras</t>
  </si>
  <si>
    <t xml:space="preserve">Balance </t>
  </si>
  <si>
    <t>Balance</t>
  </si>
  <si>
    <t>Falla</t>
  </si>
  <si>
    <t>L1 Centro - Norte</t>
  </si>
  <si>
    <t>L3 Centro - Sur</t>
  </si>
  <si>
    <t>L2 Centro - Oriente</t>
  </si>
  <si>
    <t>ORIENTE</t>
  </si>
  <si>
    <t>CENTRO</t>
  </si>
  <si>
    <t>Balance NORTE</t>
  </si>
  <si>
    <t>Balance CENTRO</t>
  </si>
  <si>
    <t>Balance SUR</t>
  </si>
  <si>
    <t>POWER FLOW LINEAS</t>
  </si>
  <si>
    <t>BALANCE c/LINEAS</t>
  </si>
  <si>
    <t>BALANCES NODOS</t>
  </si>
  <si>
    <t>Balance Oriente</t>
  </si>
  <si>
    <t>Centro</t>
  </si>
  <si>
    <t>expo</t>
  </si>
  <si>
    <t>impo</t>
  </si>
  <si>
    <t>Norte</t>
  </si>
  <si>
    <t>Oriente</t>
  </si>
  <si>
    <t>Sur</t>
  </si>
  <si>
    <t>hora</t>
  </si>
  <si>
    <t>expoC30</t>
  </si>
  <si>
    <t>impoC30</t>
  </si>
  <si>
    <t>expoN30</t>
  </si>
  <si>
    <t>impoN30</t>
  </si>
  <si>
    <t>expoO30</t>
  </si>
  <si>
    <t>impoO30</t>
  </si>
  <si>
    <t>expoS30</t>
  </si>
  <si>
    <t>impoS30</t>
  </si>
  <si>
    <t>expoC40</t>
  </si>
  <si>
    <t>impoC40</t>
  </si>
  <si>
    <t>expoN40</t>
  </si>
  <si>
    <t>impoN40</t>
  </si>
  <si>
    <t>expoO40</t>
  </si>
  <si>
    <t>impoO40</t>
  </si>
  <si>
    <t>expoS40</t>
  </si>
  <si>
    <t>impoS40</t>
  </si>
  <si>
    <t>expoC50</t>
  </si>
  <si>
    <t>impoC50</t>
  </si>
  <si>
    <t>expoN50</t>
  </si>
  <si>
    <t>impoN50</t>
  </si>
  <si>
    <t>expoO50</t>
  </si>
  <si>
    <t>impoO50</t>
  </si>
  <si>
    <t>expoS50</t>
  </si>
  <si>
    <t>impoS50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</si>
</sst>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0" fontId="0" fillId="0" borderId="0" xfId="0" applyBorder="1"/>
    <xf numFmtId="164" fontId="0" fillId="0" borderId="4" xfId="0" applyNumberFormat="1" applyBorder="1"/>
    <xf numFmtId="164" fontId="0" fillId="0" borderId="0" xfId="0" applyNumberFormat="1" applyBorder="1"/>
    <xf numFmtId="164" fontId="0" fillId="0" borderId="5" xfId="0" applyNumberFormat="1" applyBorder="1"/>
    <xf numFmtId="164" fontId="0" fillId="0" borderId="6" xfId="0" applyNumberFormat="1" applyBorder="1"/>
    <xf numFmtId="164" fontId="0" fillId="0" borderId="7" xfId="0" applyNumberFormat="1" applyBorder="1"/>
    <xf numFmtId="164" fontId="0" fillId="0" borderId="8" xfId="0" applyNumberFormat="1" applyBorder="1"/>
    <xf numFmtId="0" fontId="0" fillId="0" borderId="9" xfId="0" applyBorder="1"/>
    <xf numFmtId="164" fontId="0" fillId="0" borderId="10" xfId="0" applyNumberFormat="1" applyBorder="1"/>
    <xf numFmtId="164" fontId="0" fillId="0" borderId="11" xfId="0" applyNumberFormat="1" applyBorder="1"/>
    <xf numFmtId="164" fontId="0" fillId="0" borderId="9" xfId="0" applyNumberForma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" xfId="0" applyBorder="1"/>
    <xf numFmtId="0" fontId="0" fillId="0" borderId="1" xfId="0" applyNumberFormat="1" applyBorder="1"/>
    <xf numFmtId="0" fontId="0" fillId="0" borderId="4" xfId="0" applyNumberFormat="1" applyBorder="1"/>
    <xf numFmtId="0" fontId="0" fillId="0" borderId="6" xfId="0" applyNumberFormat="1" applyBorder="1"/>
    <xf numFmtId="0" fontId="0" fillId="0" borderId="11" xfId="0" applyBorder="1"/>
    <xf numFmtId="0" fontId="0" fillId="0" borderId="0" xfId="0" applyAlignme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0F2C8-722D-4AB6-ABEF-C810BEA333EC}">
  <dimension ref="B1:BM29"/>
  <sheetViews>
    <sheetView topLeftCell="A22" workbookViewId="0">
      <selection activeCell="B5" sqref="B5:B29"/>
    </sheetView>
  </sheetViews>
  <sheetFormatPr baseColWidth="10" defaultRowHeight="15" x14ac:dyDescent="0.25"/>
  <cols>
    <col min="2" max="2" width="13.85546875" customWidth="1"/>
    <col min="3" max="3" width="19.140625" customWidth="1"/>
    <col min="12" max="12" width="17.7109375" customWidth="1"/>
    <col min="23" max="23" width="18" customWidth="1"/>
    <col min="34" max="34" width="16.85546875" customWidth="1"/>
    <col min="43" max="43" width="16.42578125" customWidth="1"/>
    <col min="44" max="44" width="17.28515625" customWidth="1"/>
    <col min="47" max="47" width="16.42578125" customWidth="1"/>
    <col min="48" max="48" width="18.28515625" customWidth="1"/>
    <col min="49" max="49" width="16.42578125" customWidth="1"/>
    <col min="51" max="51" width="18.28515625" customWidth="1"/>
    <col min="53" max="53" width="13.85546875" customWidth="1"/>
    <col min="55" max="55" width="14.140625" customWidth="1"/>
    <col min="56" max="57" width="17.42578125" customWidth="1"/>
  </cols>
  <sheetData>
    <row r="1" spans="2:65" x14ac:dyDescent="0.25">
      <c r="C1" s="23" t="s">
        <v>54</v>
      </c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</row>
    <row r="2" spans="2:65" x14ac:dyDescent="0.25"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U2" s="23" t="s">
        <v>52</v>
      </c>
      <c r="AV2" s="24"/>
      <c r="AW2" s="24"/>
      <c r="AX2" s="24"/>
      <c r="AY2" s="24"/>
      <c r="AZ2" s="24"/>
      <c r="BA2" s="24"/>
      <c r="BC2" s="23" t="s">
        <v>53</v>
      </c>
      <c r="BD2" s="24"/>
      <c r="BE2" s="24"/>
      <c r="BF2" s="24"/>
    </row>
    <row r="3" spans="2:65" x14ac:dyDescent="0.25">
      <c r="C3" s="24" t="s">
        <v>25</v>
      </c>
      <c r="D3" s="24"/>
      <c r="E3" s="24"/>
      <c r="F3" s="24"/>
      <c r="G3" s="24"/>
      <c r="H3" s="24"/>
      <c r="I3" s="24"/>
      <c r="L3" s="24" t="s">
        <v>26</v>
      </c>
      <c r="M3" s="24"/>
      <c r="N3" s="24"/>
      <c r="O3" s="24"/>
      <c r="P3" s="24"/>
      <c r="Q3" s="24"/>
      <c r="R3" s="24"/>
      <c r="S3" s="24"/>
      <c r="T3" s="24"/>
      <c r="U3" s="2"/>
      <c r="W3" s="22" t="s">
        <v>27</v>
      </c>
      <c r="X3" s="22"/>
      <c r="Y3" s="22"/>
      <c r="Z3" s="22"/>
      <c r="AA3" s="22"/>
      <c r="AB3" s="22"/>
      <c r="AC3" s="22"/>
      <c r="AD3" s="22"/>
      <c r="AE3" s="2"/>
      <c r="AF3" s="2"/>
      <c r="AH3" s="24" t="s">
        <v>28</v>
      </c>
      <c r="AI3" s="24"/>
      <c r="AJ3" s="24"/>
      <c r="AK3" s="24"/>
      <c r="AL3" s="24"/>
      <c r="AM3" s="24"/>
      <c r="AN3" s="24"/>
      <c r="AO3" s="2"/>
      <c r="AQ3" s="24" t="s">
        <v>29</v>
      </c>
      <c r="AR3" s="24"/>
      <c r="AS3" s="24"/>
      <c r="AU3" s="24"/>
      <c r="AV3" s="24"/>
      <c r="AW3" s="24"/>
      <c r="AX3" s="24"/>
      <c r="AY3" s="24"/>
      <c r="AZ3" s="24"/>
      <c r="BA3" s="24"/>
      <c r="BC3" s="24"/>
      <c r="BD3" s="24"/>
      <c r="BE3" s="24"/>
      <c r="BF3" s="24"/>
    </row>
    <row r="4" spans="2:65" x14ac:dyDescent="0.25">
      <c r="D4" s="25" t="s">
        <v>30</v>
      </c>
      <c r="E4" s="26"/>
      <c r="F4" s="26"/>
      <c r="G4" s="26"/>
      <c r="H4" s="27"/>
      <c r="M4" s="25" t="s">
        <v>30</v>
      </c>
      <c r="N4" s="26"/>
      <c r="O4" s="26"/>
      <c r="P4" s="26"/>
      <c r="Q4" s="26"/>
      <c r="R4" s="26"/>
      <c r="S4" s="27"/>
      <c r="T4" s="2"/>
      <c r="U4" s="2"/>
      <c r="X4" s="25" t="s">
        <v>30</v>
      </c>
      <c r="Y4" s="26"/>
      <c r="Z4" s="26"/>
      <c r="AA4" s="26"/>
      <c r="AB4" s="26"/>
      <c r="AC4" s="26"/>
      <c r="AD4" s="27"/>
      <c r="AE4" s="2"/>
      <c r="AF4" s="2"/>
      <c r="AI4" s="25" t="s">
        <v>30</v>
      </c>
      <c r="AJ4" s="26"/>
      <c r="AK4" s="26"/>
      <c r="AL4" s="26"/>
      <c r="AM4" s="27"/>
      <c r="AN4" s="2"/>
      <c r="AO4" s="2"/>
      <c r="AR4" s="10" t="s">
        <v>30</v>
      </c>
      <c r="AU4" s="24" t="s">
        <v>48</v>
      </c>
      <c r="AV4" s="24"/>
      <c r="AW4" s="24"/>
      <c r="AY4" t="s">
        <v>47</v>
      </c>
      <c r="BA4" t="s">
        <v>28</v>
      </c>
    </row>
    <row r="5" spans="2:65" x14ac:dyDescent="0.25">
      <c r="C5" t="s">
        <v>24</v>
      </c>
      <c r="D5" s="14" t="s">
        <v>36</v>
      </c>
      <c r="E5" s="15" t="s">
        <v>33</v>
      </c>
      <c r="F5" s="15" t="s">
        <v>34</v>
      </c>
      <c r="G5" s="15" t="s">
        <v>40</v>
      </c>
      <c r="H5" s="16" t="s">
        <v>35</v>
      </c>
      <c r="I5" s="10" t="s">
        <v>41</v>
      </c>
      <c r="L5" s="17" t="s">
        <v>24</v>
      </c>
      <c r="M5" s="14" t="s">
        <v>31</v>
      </c>
      <c r="N5" s="15" t="s">
        <v>32</v>
      </c>
      <c r="O5" s="15" t="s">
        <v>33</v>
      </c>
      <c r="P5" s="15" t="s">
        <v>37</v>
      </c>
      <c r="Q5" s="15" t="s">
        <v>34</v>
      </c>
      <c r="R5" s="15" t="s">
        <v>40</v>
      </c>
      <c r="S5" s="16" t="s">
        <v>35</v>
      </c>
      <c r="T5" s="10" t="s">
        <v>42</v>
      </c>
      <c r="U5" s="3"/>
      <c r="W5" s="17" t="s">
        <v>24</v>
      </c>
      <c r="X5" s="14" t="s">
        <v>36</v>
      </c>
      <c r="Y5" s="15" t="s">
        <v>31</v>
      </c>
      <c r="Z5" s="15" t="s">
        <v>33</v>
      </c>
      <c r="AA5" s="15" t="s">
        <v>37</v>
      </c>
      <c r="AB5" s="15" t="s">
        <v>38</v>
      </c>
      <c r="AC5" s="15" t="s">
        <v>39</v>
      </c>
      <c r="AD5" s="16" t="s">
        <v>35</v>
      </c>
      <c r="AE5" s="10" t="s">
        <v>42</v>
      </c>
      <c r="AF5" s="3"/>
      <c r="AH5" s="10" t="s">
        <v>24</v>
      </c>
      <c r="AI5" s="14" t="s">
        <v>31</v>
      </c>
      <c r="AJ5" s="15" t="s">
        <v>32</v>
      </c>
      <c r="AK5" s="15" t="s">
        <v>33</v>
      </c>
      <c r="AL5" s="15" t="s">
        <v>34</v>
      </c>
      <c r="AM5" s="16" t="s">
        <v>35</v>
      </c>
      <c r="AN5" s="10" t="s">
        <v>42</v>
      </c>
      <c r="AO5" s="3"/>
      <c r="AQ5" s="18" t="s">
        <v>24</v>
      </c>
      <c r="AR5" s="21" t="s">
        <v>43</v>
      </c>
      <c r="AS5" s="10" t="s">
        <v>42</v>
      </c>
      <c r="AU5" t="s">
        <v>44</v>
      </c>
      <c r="AV5" t="s">
        <v>45</v>
      </c>
      <c r="AW5" t="s">
        <v>46</v>
      </c>
      <c r="AY5" t="s">
        <v>46</v>
      </c>
      <c r="BA5" t="s">
        <v>45</v>
      </c>
      <c r="BC5" t="s">
        <v>49</v>
      </c>
      <c r="BD5" t="s">
        <v>50</v>
      </c>
      <c r="BE5" t="s">
        <v>55</v>
      </c>
      <c r="BF5" t="s">
        <v>51</v>
      </c>
      <c r="BH5">
        <f>6*30*2</f>
        <v>360</v>
      </c>
    </row>
    <row r="6" spans="2:65" x14ac:dyDescent="0.25">
      <c r="B6" t="s">
        <v>0</v>
      </c>
      <c r="C6" s="13">
        <v>372.97776986875965</v>
      </c>
      <c r="D6" s="4">
        <v>7.0167610000000007</v>
      </c>
      <c r="E6" s="5">
        <v>0</v>
      </c>
      <c r="F6" s="5">
        <v>94.777986520000056</v>
      </c>
      <c r="G6" s="5">
        <v>62.736478000000005</v>
      </c>
      <c r="H6" s="6">
        <v>164.53122552000005</v>
      </c>
      <c r="I6" s="11">
        <f>H6-(C6*1.09)</f>
        <v>-242.01454363694799</v>
      </c>
      <c r="J6" s="1">
        <f>C6/(1-0.091)</f>
        <v>410.31657851348695</v>
      </c>
      <c r="K6" s="1">
        <f>H6-J6</f>
        <v>-245.7853529934869</v>
      </c>
      <c r="L6" s="4">
        <v>358.44005642922878</v>
      </c>
      <c r="M6" s="4">
        <v>90.050041656892432</v>
      </c>
      <c r="N6" s="5">
        <v>0</v>
      </c>
      <c r="O6" s="5">
        <v>0</v>
      </c>
      <c r="P6" s="5">
        <v>8.1678077662500019</v>
      </c>
      <c r="Q6" s="5">
        <v>128.6862878</v>
      </c>
      <c r="R6" s="5">
        <v>89.055195600000005</v>
      </c>
      <c r="S6" s="6">
        <v>315.9593328231424</v>
      </c>
      <c r="T6" s="11">
        <f>(S6*0.91)-L6</f>
        <v>-70.917063560169197</v>
      </c>
      <c r="U6" s="5">
        <f>L6/(1-0.091)</f>
        <v>394.32349442159381</v>
      </c>
      <c r="V6" s="1">
        <f>S6-U6</f>
        <v>-78.364161598451403</v>
      </c>
      <c r="W6" s="4">
        <v>649.63320705404055</v>
      </c>
      <c r="X6" s="4">
        <v>39.434196820000004</v>
      </c>
      <c r="Y6" s="5">
        <v>184.01124332825833</v>
      </c>
      <c r="Z6" s="5">
        <v>0</v>
      </c>
      <c r="AA6" s="5">
        <v>37.439464788000002</v>
      </c>
      <c r="AB6" s="5">
        <v>240.28875000000005</v>
      </c>
      <c r="AC6" s="5">
        <v>473.49433962264152</v>
      </c>
      <c r="AD6" s="6">
        <v>974.66799455889986</v>
      </c>
      <c r="AE6" s="11">
        <f>(AD6*0.91)-W6</f>
        <v>237.31466799455836</v>
      </c>
      <c r="AF6" s="5">
        <f>W6/(1-0.091)</f>
        <v>714.66799455890043</v>
      </c>
      <c r="AG6" s="1">
        <f>AD6-AF6</f>
        <v>259.99999999999943</v>
      </c>
      <c r="AH6" s="11">
        <v>273.00793924668807</v>
      </c>
      <c r="AI6" s="4">
        <v>355.95000000000005</v>
      </c>
      <c r="AJ6" s="5">
        <v>0</v>
      </c>
      <c r="AK6" s="5">
        <v>0</v>
      </c>
      <c r="AL6" s="5">
        <v>8.5382816400000028</v>
      </c>
      <c r="AM6" s="6">
        <v>364.48828164000003</v>
      </c>
      <c r="AN6" s="11">
        <f>(AM6*0.91)-AH6</f>
        <v>58.676397045711951</v>
      </c>
      <c r="AO6" s="5">
        <f>AH6/(1-0.091)</f>
        <v>300.3387670480617</v>
      </c>
      <c r="AP6" s="1">
        <f>AM6-AO6</f>
        <v>64.149514591938328</v>
      </c>
      <c r="AQ6" s="19">
        <v>11.004707722677509</v>
      </c>
      <c r="AR6" s="11">
        <v>12.106389133858638</v>
      </c>
      <c r="AS6" s="11">
        <f>(AR6*0.91)-AQ6</f>
        <v>1.2106389133851536E-2</v>
      </c>
      <c r="AU6">
        <v>245.78535299348704</v>
      </c>
      <c r="AV6">
        <v>0</v>
      </c>
      <c r="AW6">
        <v>0</v>
      </c>
      <c r="AY6">
        <v>-260</v>
      </c>
      <c r="BA6">
        <v>-64.149514591938384</v>
      </c>
      <c r="BC6" s="1">
        <f>K6+AU6</f>
        <v>0</v>
      </c>
      <c r="BD6" s="1">
        <f>V6-AU6-AV6-AW6-AY6-BA6</f>
        <v>0</v>
      </c>
      <c r="BE6" s="1">
        <f>AG6+AY6+AW6</f>
        <v>-5.6843418860808015E-13</v>
      </c>
      <c r="BF6" s="1">
        <f>AP6+AV6+BA6</f>
        <v>0</v>
      </c>
      <c r="BH6">
        <f>368*BC6/1000</f>
        <v>0</v>
      </c>
      <c r="BI6">
        <f t="shared" ref="BI6:BK6" si="0">368*BD6/1000</f>
        <v>0</v>
      </c>
      <c r="BJ6">
        <f t="shared" si="0"/>
        <v>-2.091837814077735E-13</v>
      </c>
      <c r="BK6">
        <f t="shared" si="0"/>
        <v>0</v>
      </c>
      <c r="BM6" s="1">
        <f>SUM(K6,V6,AG6,AP6)</f>
        <v>-5.6843418860808015E-13</v>
      </c>
    </row>
    <row r="7" spans="2:65" x14ac:dyDescent="0.25">
      <c r="B7" t="s">
        <v>1</v>
      </c>
      <c r="C7" s="11">
        <v>365.96863974861009</v>
      </c>
      <c r="D7" s="4">
        <v>7.116555250000002</v>
      </c>
      <c r="E7" s="5">
        <v>0</v>
      </c>
      <c r="F7" s="5">
        <v>70.979640195232705</v>
      </c>
      <c r="G7" s="5">
        <v>46.719165166666677</v>
      </c>
      <c r="H7" s="6">
        <v>124.81536061189938</v>
      </c>
      <c r="I7" s="11">
        <f t="shared" ref="I7:I29" si="1">H7-(C7*1.09)</f>
        <v>-274.09045671408563</v>
      </c>
      <c r="J7" s="1">
        <f t="shared" ref="J7:J29" si="2">C7/(1-0.091)</f>
        <v>402.60576429990107</v>
      </c>
      <c r="K7" s="1">
        <f t="shared" ref="K7:K29" si="3">H7-J7</f>
        <v>-277.79040368800167</v>
      </c>
      <c r="L7" s="4">
        <v>353.53566766880641</v>
      </c>
      <c r="M7" s="4">
        <v>171.52871056953899</v>
      </c>
      <c r="N7" s="5">
        <v>0</v>
      </c>
      <c r="O7" s="5">
        <v>0</v>
      </c>
      <c r="P7" s="5">
        <v>7.4871557662500008</v>
      </c>
      <c r="Q7" s="5">
        <v>96.373712308993746</v>
      </c>
      <c r="R7" s="5">
        <v>66.318424699999994</v>
      </c>
      <c r="S7" s="6">
        <v>341.7080033447827</v>
      </c>
      <c r="T7" s="11">
        <f t="shared" ref="T7:T29" si="4">(S7*0.91)-L7</f>
        <v>-42.58138462505417</v>
      </c>
      <c r="U7" s="5">
        <f t="shared" ref="U7:U29" si="5">L7/(1-0.091)</f>
        <v>388.9281272484119</v>
      </c>
      <c r="V7" s="1">
        <f t="shared" ref="V7:V29" si="6">S7-U7</f>
        <v>-47.220123903629201</v>
      </c>
      <c r="W7" s="4">
        <v>639.33229886862637</v>
      </c>
      <c r="X7" s="4">
        <v>39.995040505000006</v>
      </c>
      <c r="Y7" s="5">
        <v>185.77364569274806</v>
      </c>
      <c r="Z7" s="5">
        <v>0</v>
      </c>
      <c r="AA7" s="5">
        <v>34.31950318800002</v>
      </c>
      <c r="AB7" s="5">
        <v>229.75333333333344</v>
      </c>
      <c r="AC7" s="5">
        <v>473.49433962264152</v>
      </c>
      <c r="AD7" s="6">
        <v>963.3358623417231</v>
      </c>
      <c r="AE7" s="11">
        <f t="shared" ref="AE7:AE29" si="7">(AD7*0.91)-W7</f>
        <v>237.30333586234167</v>
      </c>
      <c r="AF7" s="5">
        <f t="shared" ref="AF7:AF29" si="8">W7/(1-0.091)</f>
        <v>703.3358623417231</v>
      </c>
      <c r="AG7" s="1">
        <f t="shared" ref="AG7:AG29" si="9">AD7-AF7</f>
        <v>260</v>
      </c>
      <c r="AH7" s="11">
        <v>270.27644975390331</v>
      </c>
      <c r="AI7" s="4">
        <v>355.95000000000005</v>
      </c>
      <c r="AJ7" s="5">
        <v>0</v>
      </c>
      <c r="AK7" s="5">
        <v>0</v>
      </c>
      <c r="AL7" s="5">
        <v>6.3943557037358492</v>
      </c>
      <c r="AM7" s="6">
        <v>362.34435570373591</v>
      </c>
      <c r="AN7" s="11">
        <f t="shared" ref="AN7:AN29" si="10">(AM7*0.91)-AH7</f>
        <v>59.456913936496392</v>
      </c>
      <c r="AO7" s="5">
        <f t="shared" ref="AO7:AO29" si="11">AH7/(1-0.091)</f>
        <v>297.33382811210481</v>
      </c>
      <c r="AP7" s="1">
        <f t="shared" ref="AP7:AP29" si="12">AM7-AO7</f>
        <v>65.010527591631103</v>
      </c>
      <c r="AQ7" s="19">
        <v>10.741846583366188</v>
      </c>
      <c r="AR7" s="11">
        <v>11.817212962999101</v>
      </c>
      <c r="AS7" s="11">
        <f t="shared" ref="AS7:AS29" si="13">(AR7*0.91)-AQ7</f>
        <v>1.1817212962993651E-2</v>
      </c>
      <c r="AU7">
        <v>277.7904036880019</v>
      </c>
      <c r="AV7">
        <v>0</v>
      </c>
      <c r="AW7">
        <v>0</v>
      </c>
      <c r="AY7">
        <v>-260</v>
      </c>
      <c r="BA7">
        <v>-65.01052759163106</v>
      </c>
      <c r="BC7" s="1">
        <f t="shared" ref="BC7:BC29" si="14">K7+AU7</f>
        <v>0</v>
      </c>
      <c r="BD7" s="1">
        <f t="shared" ref="BD7:BD29" si="15">V7-AU7-AV7-AW7-AY7-BA7</f>
        <v>0</v>
      </c>
      <c r="BE7" s="1">
        <f t="shared" ref="BE7:BE29" si="16">AG7+AY7+AW7</f>
        <v>0</v>
      </c>
      <c r="BF7" s="1">
        <f t="shared" ref="BF7:BF29" si="17">AP7+AV7+BA7</f>
        <v>0</v>
      </c>
      <c r="BH7">
        <f t="shared" ref="BH7:BH17" si="18">368*BC7/1000</f>
        <v>0</v>
      </c>
      <c r="BI7">
        <f t="shared" ref="BI7:BI17" si="19">368*BD7/1000</f>
        <v>0</v>
      </c>
      <c r="BJ7">
        <f t="shared" ref="BJ7:BJ17" si="20">368*BE7/1000</f>
        <v>0</v>
      </c>
      <c r="BK7">
        <f t="shared" ref="BK7:BK17" si="21">368*BF7/1000</f>
        <v>0</v>
      </c>
      <c r="BM7" s="1">
        <f t="shared" ref="BM7:BM29" si="22">SUM(K7,V7,AG7,AP7)</f>
        <v>2.2737367544323206E-13</v>
      </c>
    </row>
    <row r="8" spans="2:65" x14ac:dyDescent="0.25">
      <c r="B8" t="s">
        <v>2</v>
      </c>
      <c r="C8" s="11">
        <v>365.70794279425411</v>
      </c>
      <c r="D8" s="4">
        <v>7.0798142500000028</v>
      </c>
      <c r="E8" s="5">
        <v>1.1948259216365735E-3</v>
      </c>
      <c r="F8" s="5">
        <v>71.646899382823904</v>
      </c>
      <c r="G8" s="5">
        <v>47.158360583333348</v>
      </c>
      <c r="H8" s="6">
        <v>125.88626904207889</v>
      </c>
      <c r="I8" s="11">
        <f t="shared" si="1"/>
        <v>-272.73538860365812</v>
      </c>
      <c r="J8" s="1">
        <f t="shared" si="2"/>
        <v>402.31896897057658</v>
      </c>
      <c r="K8" s="1">
        <f t="shared" si="3"/>
        <v>-276.4326999284977</v>
      </c>
      <c r="L8" s="4">
        <v>353.35308498839072</v>
      </c>
      <c r="M8" s="4">
        <v>168.26436016256912</v>
      </c>
      <c r="N8" s="5">
        <v>4.3670538071512188E-4</v>
      </c>
      <c r="O8" s="5">
        <v>2.3264518405760547E-3</v>
      </c>
      <c r="P8" s="5">
        <v>7.4857979587499974</v>
      </c>
      <c r="Q8" s="5">
        <v>97.279693866572359</v>
      </c>
      <c r="R8" s="5">
        <v>66.941867950000002</v>
      </c>
      <c r="S8" s="6">
        <v>339.97448309511276</v>
      </c>
      <c r="T8" s="11">
        <f t="shared" si="4"/>
        <v>-43.976305371838123</v>
      </c>
      <c r="U8" s="5">
        <f t="shared" si="5"/>
        <v>388.72726621385118</v>
      </c>
      <c r="V8" s="1">
        <f t="shared" si="6"/>
        <v>-48.752783118738421</v>
      </c>
      <c r="W8" s="4">
        <v>638.94953290090712</v>
      </c>
      <c r="X8" s="4">
        <v>39.788556085000018</v>
      </c>
      <c r="Y8" s="5">
        <v>172.19697924942565</v>
      </c>
      <c r="Z8" s="5">
        <v>6.6815923249413637E-5</v>
      </c>
      <c r="AA8" s="5">
        <v>34.31327929199999</v>
      </c>
      <c r="AB8" s="5">
        <v>227.27250000000009</v>
      </c>
      <c r="AC8" s="5">
        <v>489.34339622641528</v>
      </c>
      <c r="AD8" s="6">
        <v>962.91477766876426</v>
      </c>
      <c r="AE8" s="11">
        <f t="shared" si="7"/>
        <v>237.30291477766843</v>
      </c>
      <c r="AF8" s="5">
        <f t="shared" si="8"/>
        <v>702.91477766876471</v>
      </c>
      <c r="AG8" s="1">
        <f t="shared" si="9"/>
        <v>259.99999999999955</v>
      </c>
      <c r="AH8" s="11">
        <v>270.17467731100362</v>
      </c>
      <c r="AI8" s="4">
        <v>355.95000000000005</v>
      </c>
      <c r="AJ8" s="5">
        <v>2.6495788858747874E-4</v>
      </c>
      <c r="AK8" s="5">
        <v>2.6181151366050236E-3</v>
      </c>
      <c r="AL8" s="5">
        <v>6.4544672030377361</v>
      </c>
      <c r="AM8" s="6">
        <v>362.40735027606297</v>
      </c>
      <c r="AN8" s="11">
        <f t="shared" si="10"/>
        <v>59.616011440213697</v>
      </c>
      <c r="AO8" s="5">
        <f t="shared" si="11"/>
        <v>297.22186722882685</v>
      </c>
      <c r="AP8" s="1">
        <f t="shared" si="12"/>
        <v>65.185483047236119</v>
      </c>
      <c r="AQ8" s="19">
        <v>10.732111701567144</v>
      </c>
      <c r="AR8" s="11">
        <v>11.806503522076056</v>
      </c>
      <c r="AS8" s="11">
        <f t="shared" si="13"/>
        <v>1.1806503522068468E-2</v>
      </c>
      <c r="AU8">
        <v>276.43269992849781</v>
      </c>
      <c r="AV8">
        <v>0</v>
      </c>
      <c r="AW8">
        <v>0</v>
      </c>
      <c r="AY8">
        <v>-260</v>
      </c>
      <c r="BA8">
        <v>-65.185483047236175</v>
      </c>
      <c r="BC8" s="1">
        <f t="shared" si="14"/>
        <v>0</v>
      </c>
      <c r="BD8" s="1">
        <f t="shared" si="15"/>
        <v>0</v>
      </c>
      <c r="BE8" s="1">
        <f t="shared" si="16"/>
        <v>-4.5474735088646412E-13</v>
      </c>
      <c r="BF8" s="1">
        <f t="shared" si="17"/>
        <v>0</v>
      </c>
      <c r="BH8">
        <f t="shared" si="18"/>
        <v>0</v>
      </c>
      <c r="BI8">
        <f t="shared" si="19"/>
        <v>0</v>
      </c>
      <c r="BJ8">
        <f t="shared" si="20"/>
        <v>-1.6734702512621879E-13</v>
      </c>
      <c r="BK8">
        <f t="shared" si="21"/>
        <v>0</v>
      </c>
      <c r="BM8" s="1">
        <f t="shared" si="22"/>
        <v>-4.5474735088646412E-13</v>
      </c>
    </row>
    <row r="9" spans="2:65" x14ac:dyDescent="0.25">
      <c r="B9" t="s">
        <v>3</v>
      </c>
      <c r="C9" s="11">
        <v>358.89895302234851</v>
      </c>
      <c r="D9" s="4">
        <v>6.9794015000000025</v>
      </c>
      <c r="E9" s="5">
        <v>25.745760000000001</v>
      </c>
      <c r="F9" s="5">
        <v>120.67158376937108</v>
      </c>
      <c r="G9" s="5">
        <v>71.753245833333352</v>
      </c>
      <c r="H9" s="6">
        <v>225.14999110270443</v>
      </c>
      <c r="I9" s="11">
        <f t="shared" si="1"/>
        <v>-166.04986769165546</v>
      </c>
      <c r="J9" s="1">
        <f t="shared" si="2"/>
        <v>394.8283311576991</v>
      </c>
      <c r="K9" s="1">
        <f t="shared" si="3"/>
        <v>-169.67834005499466</v>
      </c>
      <c r="L9" s="4">
        <v>347.95137319833674</v>
      </c>
      <c r="M9" s="4">
        <v>0</v>
      </c>
      <c r="N9" s="5">
        <v>9.4100000000000019</v>
      </c>
      <c r="O9" s="5">
        <v>50.129704799999985</v>
      </c>
      <c r="P9" s="5">
        <v>7.3787305500000002</v>
      </c>
      <c r="Q9" s="5">
        <v>163.84372287704403</v>
      </c>
      <c r="R9" s="5">
        <v>101.8546075</v>
      </c>
      <c r="S9" s="6">
        <v>332.61676572704403</v>
      </c>
      <c r="T9" s="11">
        <f t="shared" si="4"/>
        <v>-45.27011638672667</v>
      </c>
      <c r="U9" s="5">
        <f t="shared" si="5"/>
        <v>382.78478899707011</v>
      </c>
      <c r="V9" s="1">
        <f t="shared" si="6"/>
        <v>-50.168023270026083</v>
      </c>
      <c r="W9" s="4">
        <v>630.31729863085093</v>
      </c>
      <c r="X9" s="4">
        <v>39.224236430000019</v>
      </c>
      <c r="Y9" s="5">
        <v>11.685047237306568</v>
      </c>
      <c r="Z9" s="5">
        <v>1.4397299999999995</v>
      </c>
      <c r="AA9" s="5">
        <v>33.822505440000015</v>
      </c>
      <c r="AB9" s="5">
        <v>202.37208333333339</v>
      </c>
      <c r="AC9" s="5">
        <v>489.34339622641528</v>
      </c>
      <c r="AD9" s="6">
        <v>777.88699866705531</v>
      </c>
      <c r="AE9" s="11">
        <f t="shared" si="7"/>
        <v>77.559870156169382</v>
      </c>
      <c r="AF9" s="5">
        <f t="shared" si="8"/>
        <v>693.41837033096908</v>
      </c>
      <c r="AG9" s="1">
        <f t="shared" si="9"/>
        <v>84.468628336086226</v>
      </c>
      <c r="AH9" s="11">
        <v>266.85226061143538</v>
      </c>
      <c r="AI9" s="4">
        <v>355.95000000000005</v>
      </c>
      <c r="AJ9" s="5">
        <v>5.7092351999999993</v>
      </c>
      <c r="AK9" s="5">
        <v>56.414380320000014</v>
      </c>
      <c r="AL9" s="5">
        <v>10.870962825849059</v>
      </c>
      <c r="AM9" s="6">
        <v>428.9445783458491</v>
      </c>
      <c r="AN9" s="11">
        <f t="shared" si="10"/>
        <v>123.48730568328733</v>
      </c>
      <c r="AO9" s="5">
        <f t="shared" si="11"/>
        <v>293.5668433569146</v>
      </c>
      <c r="AP9" s="1">
        <f t="shared" si="12"/>
        <v>135.37773498893449</v>
      </c>
      <c r="AQ9" s="19">
        <v>10.63470466144358</v>
      </c>
      <c r="AR9" s="11">
        <v>11.699345062094141</v>
      </c>
      <c r="AS9" s="11">
        <f t="shared" si="13"/>
        <v>1.1699345062087474E-2</v>
      </c>
      <c r="AU9">
        <v>169.67834005499475</v>
      </c>
      <c r="AV9">
        <v>0</v>
      </c>
      <c r="AW9">
        <v>0</v>
      </c>
      <c r="AY9">
        <v>-84.468628336086368</v>
      </c>
      <c r="BA9">
        <v>-135.37773498893446</v>
      </c>
      <c r="BC9" s="1">
        <f t="shared" si="14"/>
        <v>0</v>
      </c>
      <c r="BD9" s="1">
        <f t="shared" si="15"/>
        <v>0</v>
      </c>
      <c r="BE9" s="1">
        <f t="shared" si="16"/>
        <v>-1.4210854715202004E-13</v>
      </c>
      <c r="BF9" s="1">
        <f t="shared" si="17"/>
        <v>0</v>
      </c>
      <c r="BH9">
        <f t="shared" si="18"/>
        <v>0</v>
      </c>
      <c r="BI9">
        <f t="shared" si="19"/>
        <v>0</v>
      </c>
      <c r="BJ9">
        <f t="shared" si="20"/>
        <v>-5.2295945351943376E-14</v>
      </c>
      <c r="BK9">
        <f t="shared" si="21"/>
        <v>0</v>
      </c>
      <c r="BM9" s="1">
        <f t="shared" si="22"/>
        <v>0</v>
      </c>
    </row>
    <row r="10" spans="2:65" x14ac:dyDescent="0.25">
      <c r="B10" t="s">
        <v>4</v>
      </c>
      <c r="C10" s="11">
        <v>291.9154745853773</v>
      </c>
      <c r="D10" s="4">
        <v>6.9180212499999998</v>
      </c>
      <c r="E10" s="5">
        <v>142.10784000000004</v>
      </c>
      <c r="F10" s="5">
        <v>0</v>
      </c>
      <c r="G10" s="5">
        <v>0</v>
      </c>
      <c r="H10" s="6">
        <v>149.02586125000005</v>
      </c>
      <c r="I10" s="11">
        <f t="shared" si="1"/>
        <v>-169.16200604806124</v>
      </c>
      <c r="J10" s="1">
        <f t="shared" si="2"/>
        <v>321.13913595751075</v>
      </c>
      <c r="K10" s="1">
        <f t="shared" si="3"/>
        <v>-172.1132747075107</v>
      </c>
      <c r="L10" s="4">
        <v>298.20284698947341</v>
      </c>
      <c r="M10" s="4">
        <v>0</v>
      </c>
      <c r="N10" s="5">
        <v>51.939999999999991</v>
      </c>
      <c r="O10" s="5">
        <v>276.69892319999985</v>
      </c>
      <c r="P10" s="5">
        <v>7.787762775</v>
      </c>
      <c r="Q10" s="5">
        <v>0</v>
      </c>
      <c r="R10" s="5">
        <v>0</v>
      </c>
      <c r="S10" s="6">
        <v>336.42668597499983</v>
      </c>
      <c r="T10" s="11">
        <f t="shared" si="4"/>
        <v>7.9454372477764537</v>
      </c>
      <c r="U10" s="5">
        <f t="shared" si="5"/>
        <v>328.05593728214893</v>
      </c>
      <c r="V10" s="1">
        <f t="shared" si="6"/>
        <v>8.3707486928508956</v>
      </c>
      <c r="W10" s="4">
        <v>538.08494204683052</v>
      </c>
      <c r="X10" s="4">
        <v>38.879279425</v>
      </c>
      <c r="Y10" s="5">
        <v>0</v>
      </c>
      <c r="Z10" s="5">
        <v>7.9468200000000007</v>
      </c>
      <c r="AA10" s="5">
        <v>35.697420720000011</v>
      </c>
      <c r="AB10" s="5">
        <v>184.44833333333335</v>
      </c>
      <c r="AC10" s="5">
        <v>407.34760402669082</v>
      </c>
      <c r="AD10" s="6">
        <v>674.31945750502416</v>
      </c>
      <c r="AE10" s="11">
        <f t="shared" si="7"/>
        <v>75.545764282741516</v>
      </c>
      <c r="AF10" s="5">
        <f t="shared" si="8"/>
        <v>591.95263151466497</v>
      </c>
      <c r="AG10" s="1">
        <f t="shared" si="9"/>
        <v>82.366825990359189</v>
      </c>
      <c r="AH10" s="11">
        <v>237.72670827503055</v>
      </c>
      <c r="AI10" s="4">
        <v>0</v>
      </c>
      <c r="AJ10" s="5">
        <v>31.513036799999998</v>
      </c>
      <c r="AK10" s="5">
        <v>311.38819488000001</v>
      </c>
      <c r="AL10" s="5">
        <v>0</v>
      </c>
      <c r="AM10" s="6">
        <v>342.90123168000002</v>
      </c>
      <c r="AN10" s="11">
        <f t="shared" si="10"/>
        <v>74.313412553769467</v>
      </c>
      <c r="AO10" s="5">
        <f t="shared" si="11"/>
        <v>261.52553165569918</v>
      </c>
      <c r="AP10" s="1">
        <f t="shared" si="12"/>
        <v>81.375700024300841</v>
      </c>
      <c r="AQ10" s="19">
        <v>8.8361601310435507</v>
      </c>
      <c r="AR10" s="11">
        <v>9.7207482189697938</v>
      </c>
      <c r="AS10" s="11">
        <f t="shared" si="13"/>
        <v>9.720748218962072E-3</v>
      </c>
      <c r="AU10">
        <v>172.1132747075109</v>
      </c>
      <c r="AV10">
        <v>0</v>
      </c>
      <c r="AW10">
        <v>0</v>
      </c>
      <c r="AY10">
        <v>-82.36682599035916</v>
      </c>
      <c r="BA10">
        <v>-81.375700024300841</v>
      </c>
      <c r="BC10" s="1">
        <f t="shared" si="14"/>
        <v>0</v>
      </c>
      <c r="BD10" s="1">
        <f t="shared" si="15"/>
        <v>0</v>
      </c>
      <c r="BE10" s="1">
        <f t="shared" si="16"/>
        <v>2.8421709430404007E-14</v>
      </c>
      <c r="BF10" s="1">
        <f t="shared" si="17"/>
        <v>0</v>
      </c>
      <c r="BH10">
        <f t="shared" si="18"/>
        <v>0</v>
      </c>
      <c r="BI10">
        <f t="shared" si="19"/>
        <v>0</v>
      </c>
      <c r="BJ10">
        <f t="shared" si="20"/>
        <v>1.0459189070388675E-14</v>
      </c>
      <c r="BK10">
        <f t="shared" si="21"/>
        <v>0</v>
      </c>
      <c r="BM10" s="1">
        <f t="shared" si="22"/>
        <v>2.2737367544323206E-13</v>
      </c>
    </row>
    <row r="11" spans="2:65" x14ac:dyDescent="0.25">
      <c r="B11" t="s">
        <v>5</v>
      </c>
      <c r="C11" s="11">
        <v>254.6066271000978</v>
      </c>
      <c r="D11" s="4">
        <v>6.9109925000000034</v>
      </c>
      <c r="E11" s="5">
        <v>204.68015999999997</v>
      </c>
      <c r="F11" s="5">
        <v>0</v>
      </c>
      <c r="G11" s="5">
        <v>0</v>
      </c>
      <c r="H11" s="6">
        <v>211.59115249999996</v>
      </c>
      <c r="I11" s="11">
        <f t="shared" si="1"/>
        <v>-65.930071039106679</v>
      </c>
      <c r="J11" s="1">
        <f t="shared" si="2"/>
        <v>280.09529934004155</v>
      </c>
      <c r="K11" s="1">
        <f t="shared" si="3"/>
        <v>-68.504146840041585</v>
      </c>
      <c r="L11" s="4">
        <v>270.54845247683164</v>
      </c>
      <c r="M11" s="4">
        <v>0</v>
      </c>
      <c r="N11" s="5">
        <v>62.603391070659555</v>
      </c>
      <c r="O11" s="5">
        <v>398.53381679999995</v>
      </c>
      <c r="P11" s="5">
        <v>0</v>
      </c>
      <c r="Q11" s="5">
        <v>0</v>
      </c>
      <c r="R11" s="5">
        <v>0</v>
      </c>
      <c r="S11" s="6">
        <v>461.13720787065949</v>
      </c>
      <c r="T11" s="11">
        <f t="shared" si="4"/>
        <v>149.08640668546849</v>
      </c>
      <c r="U11" s="5">
        <f t="shared" si="5"/>
        <v>297.63306103061785</v>
      </c>
      <c r="V11" s="1">
        <f t="shared" si="6"/>
        <v>163.50414684004164</v>
      </c>
      <c r="W11" s="4">
        <v>486.5945832718669</v>
      </c>
      <c r="X11" s="4">
        <v>38.839777850000004</v>
      </c>
      <c r="Y11" s="5">
        <v>0</v>
      </c>
      <c r="Z11" s="5">
        <v>11.445930000000001</v>
      </c>
      <c r="AA11" s="5">
        <v>0</v>
      </c>
      <c r="AB11" s="5">
        <v>225.02186450628878</v>
      </c>
      <c r="AC11" s="5">
        <v>0</v>
      </c>
      <c r="AD11" s="6">
        <v>275.3075723562888</v>
      </c>
      <c r="AE11" s="11">
        <f t="shared" si="7"/>
        <v>-236.06469242764408</v>
      </c>
      <c r="AF11" s="5">
        <f t="shared" si="8"/>
        <v>535.30757235628914</v>
      </c>
      <c r="AG11" s="1">
        <f t="shared" si="9"/>
        <v>-260.00000000000034</v>
      </c>
      <c r="AH11" s="11">
        <v>221.56173254664105</v>
      </c>
      <c r="AI11" s="4">
        <v>0</v>
      </c>
      <c r="AJ11" s="5">
        <v>0</v>
      </c>
      <c r="AK11" s="5">
        <v>408.74228002930801</v>
      </c>
      <c r="AL11" s="5">
        <v>0</v>
      </c>
      <c r="AM11" s="6">
        <v>408.74228002930801</v>
      </c>
      <c r="AN11" s="11">
        <f t="shared" si="10"/>
        <v>150.39374228002924</v>
      </c>
      <c r="AO11" s="5">
        <f t="shared" si="11"/>
        <v>243.74228002930809</v>
      </c>
      <c r="AP11" s="1">
        <f t="shared" si="12"/>
        <v>164.99999999999991</v>
      </c>
      <c r="AQ11" s="19">
        <v>7.8208088895872763</v>
      </c>
      <c r="AR11" s="11">
        <v>8.6037501535613554</v>
      </c>
      <c r="AS11" s="11">
        <f t="shared" si="13"/>
        <v>8.6037501535578542E-3</v>
      </c>
      <c r="AU11">
        <v>68.504146840041727</v>
      </c>
      <c r="AV11">
        <v>0</v>
      </c>
      <c r="AW11">
        <v>260</v>
      </c>
      <c r="AY11">
        <v>0</v>
      </c>
      <c r="BA11">
        <v>-165</v>
      </c>
      <c r="BC11" s="1">
        <f t="shared" si="14"/>
        <v>1.4210854715202004E-13</v>
      </c>
      <c r="BD11" s="1">
        <f t="shared" si="15"/>
        <v>0</v>
      </c>
      <c r="BE11" s="1">
        <f t="shared" si="16"/>
        <v>0</v>
      </c>
      <c r="BF11" s="1">
        <f t="shared" si="17"/>
        <v>0</v>
      </c>
      <c r="BH11">
        <f t="shared" si="18"/>
        <v>5.2295945351943376E-14</v>
      </c>
      <c r="BI11">
        <f t="shared" si="19"/>
        <v>0</v>
      </c>
      <c r="BJ11">
        <f t="shared" si="20"/>
        <v>0</v>
      </c>
      <c r="BK11">
        <f t="shared" si="21"/>
        <v>0</v>
      </c>
      <c r="BM11" s="1">
        <f t="shared" si="22"/>
        <v>-3.694822225952521E-13</v>
      </c>
    </row>
    <row r="12" spans="2:65" x14ac:dyDescent="0.25">
      <c r="B12" t="s">
        <v>6</v>
      </c>
      <c r="C12" s="11">
        <v>249.1349112995949</v>
      </c>
      <c r="D12" s="4">
        <v>7.0727757500000008</v>
      </c>
      <c r="E12" s="5">
        <v>207.60768000000002</v>
      </c>
      <c r="F12" s="5">
        <v>0</v>
      </c>
      <c r="G12" s="5">
        <v>0</v>
      </c>
      <c r="H12" s="6">
        <v>214.68045575000002</v>
      </c>
      <c r="I12" s="11">
        <f t="shared" si="1"/>
        <v>-56.876597566558416</v>
      </c>
      <c r="J12" s="1">
        <f t="shared" si="2"/>
        <v>274.07581001055541</v>
      </c>
      <c r="K12" s="1">
        <f t="shared" si="3"/>
        <v>-59.395354260555393</v>
      </c>
      <c r="L12" s="4">
        <v>266.64713370407259</v>
      </c>
      <c r="M12" s="4">
        <v>0</v>
      </c>
      <c r="N12" s="5">
        <v>43.502529053154817</v>
      </c>
      <c r="O12" s="5">
        <v>404.23400639999994</v>
      </c>
      <c r="P12" s="5">
        <v>0</v>
      </c>
      <c r="Q12" s="5">
        <v>0</v>
      </c>
      <c r="R12" s="5">
        <v>0</v>
      </c>
      <c r="S12" s="6">
        <v>447.73653545315477</v>
      </c>
      <c r="T12" s="11">
        <f t="shared" si="4"/>
        <v>140.79311355829827</v>
      </c>
      <c r="U12" s="5">
        <f t="shared" si="5"/>
        <v>293.34118119259909</v>
      </c>
      <c r="V12" s="1">
        <f t="shared" si="6"/>
        <v>154.39535426055568</v>
      </c>
      <c r="W12" s="4">
        <v>478.70986639141933</v>
      </c>
      <c r="X12" s="4">
        <v>39.748999715000004</v>
      </c>
      <c r="Y12" s="5">
        <v>0</v>
      </c>
      <c r="Z12" s="5">
        <v>11.609640000000001</v>
      </c>
      <c r="AA12" s="5">
        <v>0</v>
      </c>
      <c r="AB12" s="5">
        <v>215.27487666719912</v>
      </c>
      <c r="AC12" s="5">
        <v>0</v>
      </c>
      <c r="AD12" s="6">
        <v>266.6335163821991</v>
      </c>
      <c r="AE12" s="11">
        <f t="shared" si="7"/>
        <v>-236.07336648361814</v>
      </c>
      <c r="AF12" s="5">
        <f t="shared" si="8"/>
        <v>526.63351638219945</v>
      </c>
      <c r="AG12" s="1">
        <f t="shared" si="9"/>
        <v>-260.00000000000034</v>
      </c>
      <c r="AH12" s="11">
        <v>219.35310073487005</v>
      </c>
      <c r="AI12" s="4">
        <v>0</v>
      </c>
      <c r="AJ12" s="5">
        <v>0</v>
      </c>
      <c r="AK12" s="5">
        <v>406.3125420625633</v>
      </c>
      <c r="AL12" s="5">
        <v>0</v>
      </c>
      <c r="AM12" s="6">
        <v>406.3125420625633</v>
      </c>
      <c r="AN12" s="11">
        <f t="shared" si="10"/>
        <v>150.39131254206256</v>
      </c>
      <c r="AO12" s="5">
        <f t="shared" si="11"/>
        <v>241.3125420625633</v>
      </c>
      <c r="AP12" s="1">
        <f t="shared" si="12"/>
        <v>165</v>
      </c>
      <c r="AQ12" s="19">
        <v>7.6336162942946695</v>
      </c>
      <c r="AR12" s="11">
        <v>8.3978177054946812</v>
      </c>
      <c r="AS12" s="11">
        <f t="shared" si="13"/>
        <v>8.3978177054904179E-3</v>
      </c>
      <c r="AU12">
        <v>59.395354260555656</v>
      </c>
      <c r="AV12">
        <v>0</v>
      </c>
      <c r="AW12">
        <v>260</v>
      </c>
      <c r="AY12">
        <v>0</v>
      </c>
      <c r="BA12">
        <v>-165</v>
      </c>
      <c r="BC12" s="1">
        <f t="shared" si="14"/>
        <v>2.6290081223123707E-13</v>
      </c>
      <c r="BD12" s="1">
        <f t="shared" si="15"/>
        <v>0</v>
      </c>
      <c r="BE12" s="1">
        <f t="shared" si="16"/>
        <v>0</v>
      </c>
      <c r="BF12" s="1">
        <f t="shared" si="17"/>
        <v>0</v>
      </c>
      <c r="BH12">
        <f t="shared" si="18"/>
        <v>9.6747498901095239E-14</v>
      </c>
      <c r="BI12">
        <f t="shared" si="19"/>
        <v>0</v>
      </c>
      <c r="BJ12">
        <f t="shared" si="20"/>
        <v>0</v>
      </c>
      <c r="BK12">
        <f t="shared" si="21"/>
        <v>0</v>
      </c>
      <c r="BM12" s="1">
        <f t="shared" si="22"/>
        <v>0</v>
      </c>
    </row>
    <row r="13" spans="2:65" x14ac:dyDescent="0.25">
      <c r="B13" t="s">
        <v>7</v>
      </c>
      <c r="C13" s="11">
        <v>285.08809095869663</v>
      </c>
      <c r="D13" s="4">
        <v>7.1137292499999996</v>
      </c>
      <c r="E13" s="5">
        <v>159.80975999999998</v>
      </c>
      <c r="F13" s="5">
        <v>0</v>
      </c>
      <c r="G13" s="5">
        <v>0</v>
      </c>
      <c r="H13" s="6">
        <v>166.92348924999999</v>
      </c>
      <c r="I13" s="11">
        <f t="shared" si="1"/>
        <v>-143.82252989497937</v>
      </c>
      <c r="J13" s="1">
        <f t="shared" si="2"/>
        <v>313.62826288085438</v>
      </c>
      <c r="K13" s="1">
        <f t="shared" si="3"/>
        <v>-146.70477363085439</v>
      </c>
      <c r="L13" s="4">
        <v>292.98745889626065</v>
      </c>
      <c r="M13" s="4">
        <v>0</v>
      </c>
      <c r="N13" s="5">
        <v>58.41</v>
      </c>
      <c r="O13" s="5">
        <v>311.16642479999996</v>
      </c>
      <c r="P13" s="5">
        <v>12.025510784999996</v>
      </c>
      <c r="Q13" s="5">
        <v>0</v>
      </c>
      <c r="R13" s="5">
        <v>0</v>
      </c>
      <c r="S13" s="6">
        <v>381.60193558499998</v>
      </c>
      <c r="T13" s="11">
        <f t="shared" si="4"/>
        <v>54.270302486089349</v>
      </c>
      <c r="U13" s="5">
        <f t="shared" si="5"/>
        <v>322.31843662954964</v>
      </c>
      <c r="V13" s="1">
        <f t="shared" si="6"/>
        <v>59.283498955450341</v>
      </c>
      <c r="W13" s="4">
        <v>528.99609333809144</v>
      </c>
      <c r="X13" s="4">
        <v>39.979158385000005</v>
      </c>
      <c r="Y13" s="5">
        <v>0</v>
      </c>
      <c r="Z13" s="5">
        <v>8.9367300000000007</v>
      </c>
      <c r="AA13" s="5">
        <v>55.122341328000005</v>
      </c>
      <c r="AB13" s="5">
        <v>352.00750000000011</v>
      </c>
      <c r="AC13" s="5">
        <v>85.806707344082398</v>
      </c>
      <c r="AD13" s="6">
        <v>541.85243705708251</v>
      </c>
      <c r="AE13" s="11">
        <f t="shared" si="7"/>
        <v>-35.910375616146325</v>
      </c>
      <c r="AF13" s="5">
        <f t="shared" si="8"/>
        <v>581.9538980617067</v>
      </c>
      <c r="AG13" s="1">
        <f t="shared" si="9"/>
        <v>-40.101461004624184</v>
      </c>
      <c r="AH13" s="11">
        <v>234.60618052653422</v>
      </c>
      <c r="AI13" s="4">
        <v>0</v>
      </c>
      <c r="AJ13" s="5">
        <v>35.438515200000019</v>
      </c>
      <c r="AK13" s="5">
        <v>350.17682832000003</v>
      </c>
      <c r="AL13" s="5">
        <v>0</v>
      </c>
      <c r="AM13" s="6">
        <v>385.61534352000007</v>
      </c>
      <c r="AN13" s="11">
        <f t="shared" si="10"/>
        <v>116.30378207666587</v>
      </c>
      <c r="AO13" s="5">
        <f t="shared" si="11"/>
        <v>258.09260783997161</v>
      </c>
      <c r="AP13" s="1">
        <f t="shared" si="12"/>
        <v>127.52273568002846</v>
      </c>
      <c r="AQ13" s="19">
        <v>8.6887000023338388</v>
      </c>
      <c r="AR13" s="11">
        <v>9.5585258551527286</v>
      </c>
      <c r="AS13" s="11">
        <f t="shared" si="13"/>
        <v>9.5585258551444952E-3</v>
      </c>
      <c r="AU13">
        <v>146.70477363085456</v>
      </c>
      <c r="AV13">
        <v>0</v>
      </c>
      <c r="AW13">
        <v>40.101461004624014</v>
      </c>
      <c r="AY13">
        <v>0</v>
      </c>
      <c r="BA13">
        <v>-127.52273568002829</v>
      </c>
      <c r="BC13" s="1">
        <f t="shared" si="14"/>
        <v>0</v>
      </c>
      <c r="BD13" s="1">
        <f t="shared" si="15"/>
        <v>0</v>
      </c>
      <c r="BE13" s="1">
        <f t="shared" si="16"/>
        <v>-1.7053025658242404E-13</v>
      </c>
      <c r="BF13" s="1">
        <f t="shared" si="17"/>
        <v>1.7053025658242404E-13</v>
      </c>
      <c r="BH13">
        <f t="shared" si="18"/>
        <v>0</v>
      </c>
      <c r="BI13">
        <f t="shared" si="19"/>
        <v>0</v>
      </c>
      <c r="BJ13">
        <f t="shared" si="20"/>
        <v>-6.2755134422332054E-14</v>
      </c>
      <c r="BK13">
        <f t="shared" si="21"/>
        <v>6.2755134422332054E-14</v>
      </c>
      <c r="BM13" s="1">
        <f t="shared" si="22"/>
        <v>2.2737367544323206E-13</v>
      </c>
    </row>
    <row r="14" spans="2:65" x14ac:dyDescent="0.25">
      <c r="B14" t="s">
        <v>8</v>
      </c>
      <c r="C14" s="11">
        <v>359.35440106484697</v>
      </c>
      <c r="D14" s="4">
        <v>7.1332397499999987</v>
      </c>
      <c r="E14" s="5">
        <v>50.479200000000006</v>
      </c>
      <c r="F14" s="5">
        <v>148.23676612207549</v>
      </c>
      <c r="G14" s="5">
        <v>100.98042725000001</v>
      </c>
      <c r="H14" s="6">
        <v>306.82963312207551</v>
      </c>
      <c r="I14" s="11">
        <f t="shared" si="1"/>
        <v>-84.866664038607723</v>
      </c>
      <c r="J14" s="1">
        <f t="shared" si="2"/>
        <v>395.32937410874251</v>
      </c>
      <c r="K14" s="1">
        <f t="shared" si="3"/>
        <v>-88.499740986667007</v>
      </c>
      <c r="L14" s="4">
        <v>347.65848038836339</v>
      </c>
      <c r="M14" s="4">
        <v>0</v>
      </c>
      <c r="N14" s="5">
        <v>18.45</v>
      </c>
      <c r="O14" s="5">
        <v>98.288316000000009</v>
      </c>
      <c r="P14" s="5">
        <v>12.223797716249999</v>
      </c>
      <c r="Q14" s="5">
        <v>201.27077867075471</v>
      </c>
      <c r="R14" s="5">
        <v>38.626639934974591</v>
      </c>
      <c r="S14" s="6">
        <v>368.85953232197932</v>
      </c>
      <c r="T14" s="11">
        <f t="shared" si="4"/>
        <v>-11.996305975362191</v>
      </c>
      <c r="U14" s="5">
        <f t="shared" si="5"/>
        <v>382.4625746846682</v>
      </c>
      <c r="V14" s="1">
        <f t="shared" si="6"/>
        <v>-13.603042362688882</v>
      </c>
      <c r="W14" s="4">
        <v>632.30556941824068</v>
      </c>
      <c r="X14" s="4">
        <v>40.088807395000003</v>
      </c>
      <c r="Y14" s="5">
        <v>0</v>
      </c>
      <c r="Z14" s="5">
        <v>2.8228500000000007</v>
      </c>
      <c r="AA14" s="5">
        <v>56.031245748000003</v>
      </c>
      <c r="AB14" s="5">
        <v>343.16750000000008</v>
      </c>
      <c r="AC14" s="5">
        <v>513.49528378575712</v>
      </c>
      <c r="AD14" s="6">
        <v>955.60568692875722</v>
      </c>
      <c r="AE14" s="11">
        <f t="shared" si="7"/>
        <v>237.29560568692841</v>
      </c>
      <c r="AF14" s="5">
        <f t="shared" si="8"/>
        <v>695.60568692875756</v>
      </c>
      <c r="AG14" s="1">
        <f t="shared" si="9"/>
        <v>259.99999999999966</v>
      </c>
      <c r="AH14" s="11">
        <v>266.38789259417877</v>
      </c>
      <c r="AI14" s="4">
        <v>0</v>
      </c>
      <c r="AJ14" s="5">
        <v>11.193984</v>
      </c>
      <c r="AK14" s="5">
        <v>110.61055439999997</v>
      </c>
      <c r="AL14" s="5">
        <v>13.354232401698113</v>
      </c>
      <c r="AM14" s="6">
        <v>135.1587708016981</v>
      </c>
      <c r="AN14" s="11">
        <f t="shared" si="10"/>
        <v>-143.39341116463351</v>
      </c>
      <c r="AO14" s="5">
        <f t="shared" si="11"/>
        <v>293.05598745234187</v>
      </c>
      <c r="AP14" s="1">
        <f t="shared" si="12"/>
        <v>-157.89721665064377</v>
      </c>
      <c r="AQ14" s="19">
        <v>10.803342890060501</v>
      </c>
      <c r="AR14" s="11">
        <v>11.884865665633104</v>
      </c>
      <c r="AS14" s="11">
        <f t="shared" si="13"/>
        <v>1.1884865665624744E-2</v>
      </c>
      <c r="AU14">
        <v>88.49974098666722</v>
      </c>
      <c r="AV14">
        <v>157.89721665064388</v>
      </c>
      <c r="AW14">
        <v>0</v>
      </c>
      <c r="AY14">
        <v>-260</v>
      </c>
      <c r="BA14">
        <v>0</v>
      </c>
      <c r="BC14" s="1">
        <f t="shared" si="14"/>
        <v>2.1316282072803006E-13</v>
      </c>
      <c r="BD14" s="1">
        <f t="shared" si="15"/>
        <v>0</v>
      </c>
      <c r="BE14" s="1">
        <f t="shared" si="16"/>
        <v>-3.4106051316484809E-13</v>
      </c>
      <c r="BF14" s="1">
        <f t="shared" si="17"/>
        <v>1.1368683772161603E-13</v>
      </c>
      <c r="BH14">
        <f t="shared" si="18"/>
        <v>7.8443918027915054E-14</v>
      </c>
      <c r="BI14">
        <f t="shared" si="19"/>
        <v>0</v>
      </c>
      <c r="BJ14">
        <f t="shared" si="20"/>
        <v>-1.2551026884466411E-13</v>
      </c>
      <c r="BK14">
        <f t="shared" si="21"/>
        <v>4.1836756281554698E-14</v>
      </c>
      <c r="BM14" s="1">
        <f t="shared" si="22"/>
        <v>0</v>
      </c>
    </row>
    <row r="15" spans="2:65" x14ac:dyDescent="0.25">
      <c r="B15" t="s">
        <v>9</v>
      </c>
      <c r="C15" s="11">
        <v>412.06432538133447</v>
      </c>
      <c r="D15" s="4">
        <v>7.3054677500000009</v>
      </c>
      <c r="E15" s="5">
        <v>5.4720000000000019E-2</v>
      </c>
      <c r="F15" s="5">
        <v>254.95634679639619</v>
      </c>
      <c r="G15" s="5">
        <v>98.959887471952428</v>
      </c>
      <c r="H15" s="6">
        <v>361.27642201834863</v>
      </c>
      <c r="I15" s="11">
        <f t="shared" si="1"/>
        <v>-87.873692647305973</v>
      </c>
      <c r="J15" s="1">
        <f t="shared" si="2"/>
        <v>453.31608952842072</v>
      </c>
      <c r="K15" s="1">
        <f t="shared" si="3"/>
        <v>-92.039667510072093</v>
      </c>
      <c r="L15" s="4">
        <v>385.78784262664698</v>
      </c>
      <c r="M15" s="4">
        <v>0</v>
      </c>
      <c r="N15" s="5">
        <v>2.0000000000000004E-2</v>
      </c>
      <c r="O15" s="5">
        <v>0.10654559999999998</v>
      </c>
      <c r="P15" s="5">
        <v>13.726293716250002</v>
      </c>
      <c r="Q15" s="5">
        <v>346.17095197896231</v>
      </c>
      <c r="R15" s="5">
        <v>115.96034076492595</v>
      </c>
      <c r="S15" s="6">
        <v>475.98413206013828</v>
      </c>
      <c r="T15" s="11">
        <f t="shared" si="4"/>
        <v>47.357717548078881</v>
      </c>
      <c r="U15" s="5">
        <f t="shared" si="5"/>
        <v>424.40906779609128</v>
      </c>
      <c r="V15" s="1">
        <f t="shared" si="6"/>
        <v>51.575064264047001</v>
      </c>
      <c r="W15" s="4">
        <v>707.0799589809601</v>
      </c>
      <c r="X15" s="4">
        <v>41.056728754999995</v>
      </c>
      <c r="Y15" s="5">
        <v>0</v>
      </c>
      <c r="Z15" s="5">
        <v>3.0600000000000007E-3</v>
      </c>
      <c r="AA15" s="5">
        <v>62.918362547999998</v>
      </c>
      <c r="AB15" s="5">
        <v>338.60124999999999</v>
      </c>
      <c r="AC15" s="5">
        <v>540.75094339622638</v>
      </c>
      <c r="AD15" s="6">
        <v>983.33034469922632</v>
      </c>
      <c r="AE15" s="11">
        <f t="shared" si="7"/>
        <v>187.75065469533592</v>
      </c>
      <c r="AF15" s="5">
        <f t="shared" si="8"/>
        <v>777.86574145320139</v>
      </c>
      <c r="AG15" s="1">
        <f t="shared" si="9"/>
        <v>205.46460324602492</v>
      </c>
      <c r="AH15" s="11">
        <v>288.23842780510552</v>
      </c>
      <c r="AI15" s="4">
        <v>128.99364394619946</v>
      </c>
      <c r="AJ15" s="5">
        <v>1.2134400000000002E-2</v>
      </c>
      <c r="AK15" s="5">
        <v>0.11990304000000002</v>
      </c>
      <c r="AL15" s="5">
        <v>22.968298597415096</v>
      </c>
      <c r="AM15" s="6">
        <v>152.09397998361456</v>
      </c>
      <c r="AN15" s="11">
        <f t="shared" si="10"/>
        <v>-149.83290602001625</v>
      </c>
      <c r="AO15" s="5">
        <f t="shared" si="11"/>
        <v>317.09397998361442</v>
      </c>
      <c r="AP15" s="1">
        <f t="shared" si="12"/>
        <v>-164.99999999999986</v>
      </c>
      <c r="AQ15" s="19">
        <v>12.470963758254744</v>
      </c>
      <c r="AR15" s="11">
        <v>13.719432077287941</v>
      </c>
      <c r="AS15" s="11">
        <f t="shared" si="13"/>
        <v>1.3719432077282434E-2</v>
      </c>
      <c r="AU15">
        <v>92.039667510072078</v>
      </c>
      <c r="AV15">
        <v>165</v>
      </c>
      <c r="AW15">
        <v>0</v>
      </c>
      <c r="AY15">
        <v>-205.46460324602549</v>
      </c>
      <c r="BA15">
        <v>0</v>
      </c>
      <c r="BC15" s="1">
        <f t="shared" si="14"/>
        <v>0</v>
      </c>
      <c r="BD15" s="1">
        <f t="shared" si="15"/>
        <v>3.979039320256561E-13</v>
      </c>
      <c r="BE15" s="1">
        <f t="shared" si="16"/>
        <v>-5.6843418860808015E-13</v>
      </c>
      <c r="BF15" s="1">
        <f t="shared" si="17"/>
        <v>1.4210854715202004E-13</v>
      </c>
      <c r="BH15">
        <f t="shared" si="18"/>
        <v>0</v>
      </c>
      <c r="BI15">
        <f t="shared" si="19"/>
        <v>1.4642864698544145E-13</v>
      </c>
      <c r="BJ15">
        <f t="shared" si="20"/>
        <v>-2.091837814077735E-13</v>
      </c>
      <c r="BK15">
        <f t="shared" si="21"/>
        <v>5.2295945351943376E-14</v>
      </c>
      <c r="BM15" s="1">
        <f t="shared" si="22"/>
        <v>0</v>
      </c>
    </row>
    <row r="16" spans="2:65" x14ac:dyDescent="0.25">
      <c r="B16" t="s">
        <v>10</v>
      </c>
      <c r="C16" s="11">
        <v>411.54927296703858</v>
      </c>
      <c r="D16" s="4">
        <v>7.2705615000000021</v>
      </c>
      <c r="E16" s="5">
        <v>1.5915081276199161E-3</v>
      </c>
      <c r="F16" s="5">
        <v>249.78090245323898</v>
      </c>
      <c r="G16" s="5">
        <v>104.22336655698207</v>
      </c>
      <c r="H16" s="6">
        <v>361.27642201834868</v>
      </c>
      <c r="I16" s="11">
        <f t="shared" si="1"/>
        <v>-87.312285515723374</v>
      </c>
      <c r="J16" s="1">
        <f t="shared" si="2"/>
        <v>452.74947521126353</v>
      </c>
      <c r="K16" s="1">
        <f t="shared" si="3"/>
        <v>-91.473053192914847</v>
      </c>
      <c r="L16" s="4">
        <v>385.42886424674282</v>
      </c>
      <c r="M16" s="4">
        <v>0</v>
      </c>
      <c r="N16" s="5">
        <v>5.8169156711254243E-4</v>
      </c>
      <c r="O16" s="5">
        <v>3.098833851647304E-3</v>
      </c>
      <c r="P16" s="5">
        <v>12.33527446125</v>
      </c>
      <c r="Q16" s="5">
        <v>339.14391179072334</v>
      </c>
      <c r="R16" s="5">
        <v>196.53864425047178</v>
      </c>
      <c r="S16" s="6">
        <v>548.02151102786388</v>
      </c>
      <c r="T16" s="11">
        <f t="shared" si="4"/>
        <v>113.27071078861331</v>
      </c>
      <c r="U16" s="5">
        <f t="shared" si="5"/>
        <v>424.01415208662576</v>
      </c>
      <c r="V16" s="1">
        <f t="shared" si="6"/>
        <v>124.00735894123812</v>
      </c>
      <c r="W16" s="4">
        <v>706.31997326558394</v>
      </c>
      <c r="X16" s="4">
        <v>40.860555629999993</v>
      </c>
      <c r="Y16" s="5">
        <v>0</v>
      </c>
      <c r="Z16" s="5">
        <v>8.8998809768218995E-5</v>
      </c>
      <c r="AA16" s="5">
        <v>56.542231044000026</v>
      </c>
      <c r="AB16" s="5">
        <v>290.36041666666671</v>
      </c>
      <c r="AC16" s="5">
        <v>521.73207547169795</v>
      </c>
      <c r="AD16" s="6">
        <v>909.49536781117445</v>
      </c>
      <c r="AE16" s="11">
        <f t="shared" si="7"/>
        <v>121.32081144258484</v>
      </c>
      <c r="AF16" s="5">
        <f t="shared" si="8"/>
        <v>777.02967355949829</v>
      </c>
      <c r="AG16" s="1">
        <f t="shared" si="9"/>
        <v>132.46569425167615</v>
      </c>
      <c r="AH16" s="11">
        <v>288.03919061224474</v>
      </c>
      <c r="AI16" s="4">
        <v>129.36889949453771</v>
      </c>
      <c r="AJ16" s="5">
        <v>3.5292390759852178E-4</v>
      </c>
      <c r="AK16" s="5">
        <v>3.4873293619578911E-3</v>
      </c>
      <c r="AL16" s="5">
        <v>22.502057405377357</v>
      </c>
      <c r="AM16" s="6">
        <v>151.87479715318463</v>
      </c>
      <c r="AN16" s="11">
        <f t="shared" si="10"/>
        <v>-149.83312520284673</v>
      </c>
      <c r="AO16" s="5">
        <f t="shared" si="11"/>
        <v>316.87479715318455</v>
      </c>
      <c r="AP16" s="1">
        <f t="shared" si="12"/>
        <v>-164.99999999999991</v>
      </c>
      <c r="AQ16" s="19">
        <v>12.451298204487275</v>
      </c>
      <c r="AR16" s="11">
        <v>13.697797804716465</v>
      </c>
      <c r="AS16" s="11">
        <f t="shared" si="13"/>
        <v>1.3697797804709921E-2</v>
      </c>
      <c r="AU16">
        <v>91.473053192914961</v>
      </c>
      <c r="AV16">
        <v>165</v>
      </c>
      <c r="AW16">
        <v>0</v>
      </c>
      <c r="AY16">
        <v>-132.46569425167698</v>
      </c>
      <c r="BA16">
        <v>0</v>
      </c>
      <c r="BC16" s="1">
        <f t="shared" si="14"/>
        <v>1.1368683772161603E-13</v>
      </c>
      <c r="BD16" s="1">
        <f t="shared" si="15"/>
        <v>1.4210854715202004E-13</v>
      </c>
      <c r="BE16" s="1">
        <f t="shared" si="16"/>
        <v>-8.2422957348171622E-13</v>
      </c>
      <c r="BF16" s="1">
        <f t="shared" si="17"/>
        <v>8.5265128291212022E-14</v>
      </c>
      <c r="BH16">
        <f t="shared" si="18"/>
        <v>4.1836756281554698E-14</v>
      </c>
      <c r="BI16">
        <f t="shared" si="19"/>
        <v>5.2295945351943376E-14</v>
      </c>
      <c r="BJ16">
        <f t="shared" si="20"/>
        <v>-3.0331648304127158E-13</v>
      </c>
      <c r="BK16">
        <f t="shared" si="21"/>
        <v>3.1377567211166027E-14</v>
      </c>
      <c r="BM16" s="1">
        <f t="shared" si="22"/>
        <v>-4.8316906031686813E-13</v>
      </c>
    </row>
    <row r="17" spans="2:65" x14ac:dyDescent="0.25">
      <c r="B17" t="s">
        <v>11</v>
      </c>
      <c r="C17" s="11">
        <v>392.21861130153786</v>
      </c>
      <c r="D17" s="4">
        <v>7.1448099999999997</v>
      </c>
      <c r="E17" s="5">
        <v>0</v>
      </c>
      <c r="F17" s="5">
        <v>159.59997700283026</v>
      </c>
      <c r="G17" s="5">
        <v>97.376353000000037</v>
      </c>
      <c r="H17" s="6">
        <v>264.12114000283032</v>
      </c>
      <c r="I17" s="11">
        <f t="shared" si="1"/>
        <v>-163.39714631584599</v>
      </c>
      <c r="J17" s="1">
        <f t="shared" si="2"/>
        <v>431.48362079377102</v>
      </c>
      <c r="K17" s="1">
        <f t="shared" si="3"/>
        <v>-167.36248079094071</v>
      </c>
      <c r="L17" s="4">
        <v>371.9031488310535</v>
      </c>
      <c r="M17" s="4">
        <v>0</v>
      </c>
      <c r="N17" s="5">
        <v>0</v>
      </c>
      <c r="O17" s="5">
        <v>0</v>
      </c>
      <c r="P17" s="5">
        <v>10.151557863750002</v>
      </c>
      <c r="Q17" s="5">
        <v>216.69935527830191</v>
      </c>
      <c r="R17" s="5">
        <v>138.22692060000008</v>
      </c>
      <c r="S17" s="6">
        <v>365.07783374205201</v>
      </c>
      <c r="T17" s="11">
        <f t="shared" si="4"/>
        <v>-39.682320125786134</v>
      </c>
      <c r="U17" s="5">
        <f t="shared" si="5"/>
        <v>409.13437715187405</v>
      </c>
      <c r="V17" s="1">
        <f t="shared" si="6"/>
        <v>-44.056543409822041</v>
      </c>
      <c r="W17" s="4">
        <v>677.9103452454674</v>
      </c>
      <c r="X17" s="4">
        <v>40.153832200000004</v>
      </c>
      <c r="Y17" s="5">
        <v>83.510763040737984</v>
      </c>
      <c r="Z17" s="5">
        <v>0</v>
      </c>
      <c r="AA17" s="5">
        <v>46.532546316000015</v>
      </c>
      <c r="AB17" s="5">
        <v>249.41041666666672</v>
      </c>
      <c r="AC17" s="5">
        <v>475.84716981132078</v>
      </c>
      <c r="AD17" s="6">
        <v>895.45472803472546</v>
      </c>
      <c r="AE17" s="11">
        <f t="shared" si="7"/>
        <v>136.95345726613277</v>
      </c>
      <c r="AF17" s="5">
        <f t="shared" si="8"/>
        <v>745.77595736575074</v>
      </c>
      <c r="AG17" s="1">
        <f t="shared" si="9"/>
        <v>149.67877066897472</v>
      </c>
      <c r="AH17" s="11">
        <v>280.50618158276416</v>
      </c>
      <c r="AI17" s="4">
        <v>355.95000000000005</v>
      </c>
      <c r="AJ17" s="5">
        <v>0</v>
      </c>
      <c r="AK17" s="5">
        <v>0</v>
      </c>
      <c r="AL17" s="5">
        <v>14.377912038679252</v>
      </c>
      <c r="AM17" s="6">
        <v>370.3279120386793</v>
      </c>
      <c r="AN17" s="11">
        <f t="shared" si="10"/>
        <v>56.492218372434024</v>
      </c>
      <c r="AO17" s="5">
        <f t="shared" si="11"/>
        <v>308.58765850689127</v>
      </c>
      <c r="AP17" s="1">
        <f t="shared" si="12"/>
        <v>61.740253531788028</v>
      </c>
      <c r="AQ17" s="19">
        <v>11.726290774159033</v>
      </c>
      <c r="AR17" s="11">
        <v>12.900209872562186</v>
      </c>
      <c r="AS17" s="11">
        <f t="shared" si="13"/>
        <v>1.29002098725568E-2</v>
      </c>
      <c r="AU17">
        <v>167.36248079094088</v>
      </c>
      <c r="AV17">
        <v>0</v>
      </c>
      <c r="AW17">
        <v>0</v>
      </c>
      <c r="AY17">
        <v>-149.67877066897503</v>
      </c>
      <c r="BA17">
        <v>-61.740253531787914</v>
      </c>
      <c r="BC17" s="1">
        <f t="shared" si="14"/>
        <v>0</v>
      </c>
      <c r="BD17" s="1">
        <f t="shared" si="15"/>
        <v>0</v>
      </c>
      <c r="BE17" s="1">
        <f t="shared" si="16"/>
        <v>-3.1263880373444408E-13</v>
      </c>
      <c r="BF17" s="1">
        <f t="shared" si="17"/>
        <v>1.1368683772161603E-13</v>
      </c>
      <c r="BH17">
        <f t="shared" si="18"/>
        <v>0</v>
      </c>
      <c r="BI17">
        <f t="shared" si="19"/>
        <v>0</v>
      </c>
      <c r="BJ17">
        <f t="shared" si="20"/>
        <v>-1.1505107977427542E-13</v>
      </c>
      <c r="BK17">
        <f t="shared" si="21"/>
        <v>4.1836756281554698E-14</v>
      </c>
      <c r="BM17" s="1">
        <f t="shared" si="22"/>
        <v>0</v>
      </c>
    </row>
    <row r="18" spans="2:65" x14ac:dyDescent="0.25">
      <c r="B18" t="s">
        <v>12</v>
      </c>
      <c r="C18" s="11">
        <v>373.41615125246608</v>
      </c>
      <c r="D18" s="4">
        <v>2.8714897499999998</v>
      </c>
      <c r="E18" s="5">
        <v>0</v>
      </c>
      <c r="F18" s="5">
        <v>184.83505982393083</v>
      </c>
      <c r="G18" s="5">
        <v>121.65939566666667</v>
      </c>
      <c r="H18" s="6">
        <v>309.36594524059751</v>
      </c>
      <c r="I18" s="11">
        <f t="shared" si="1"/>
        <v>-97.657659624590565</v>
      </c>
      <c r="J18" s="1">
        <f t="shared" si="2"/>
        <v>410.79884626233888</v>
      </c>
      <c r="K18" s="1">
        <f t="shared" si="3"/>
        <v>-101.43290102174137</v>
      </c>
      <c r="L18" s="4">
        <v>358.74679816381968</v>
      </c>
      <c r="M18" s="4">
        <v>0</v>
      </c>
      <c r="N18" s="5">
        <v>0</v>
      </c>
      <c r="O18" s="5">
        <v>0</v>
      </c>
      <c r="P18" s="5">
        <v>7.3861348050000046</v>
      </c>
      <c r="Q18" s="5">
        <v>250.96268213097483</v>
      </c>
      <c r="R18" s="5">
        <v>172.69699580000002</v>
      </c>
      <c r="S18" s="6">
        <v>431.04581273597483</v>
      </c>
      <c r="T18" s="11">
        <f t="shared" si="4"/>
        <v>33.504891425917435</v>
      </c>
      <c r="U18" s="5">
        <f t="shared" si="5"/>
        <v>394.66094407460912</v>
      </c>
      <c r="V18" s="1">
        <f t="shared" si="6"/>
        <v>36.384868661365715</v>
      </c>
      <c r="W18" s="4">
        <v>650.27747050847017</v>
      </c>
      <c r="X18" s="4">
        <v>16.137772394999995</v>
      </c>
      <c r="Y18" s="5">
        <v>0</v>
      </c>
      <c r="Z18" s="5">
        <v>0</v>
      </c>
      <c r="AA18" s="5">
        <v>33.856444944000003</v>
      </c>
      <c r="AB18" s="5">
        <v>228.88666666666671</v>
      </c>
      <c r="AC18" s="5">
        <v>447.50566037735848</v>
      </c>
      <c r="AD18" s="6">
        <v>726.38654438302524</v>
      </c>
      <c r="AE18" s="11">
        <f t="shared" si="7"/>
        <v>10.734284880082782</v>
      </c>
      <c r="AF18" s="5">
        <f t="shared" si="8"/>
        <v>715.37675523484063</v>
      </c>
      <c r="AG18" s="1">
        <f t="shared" si="9"/>
        <v>11.009789148184609</v>
      </c>
      <c r="AH18" s="11">
        <v>273.17877844112456</v>
      </c>
      <c r="AI18" s="4">
        <v>337.91368265238032</v>
      </c>
      <c r="AJ18" s="5">
        <v>0</v>
      </c>
      <c r="AK18" s="5">
        <v>0</v>
      </c>
      <c r="AL18" s="5">
        <v>16.651269515943397</v>
      </c>
      <c r="AM18" s="6">
        <v>354.56495216832371</v>
      </c>
      <c r="AN18" s="11">
        <f t="shared" si="10"/>
        <v>49.475328032050015</v>
      </c>
      <c r="AO18" s="5">
        <f t="shared" si="11"/>
        <v>300.52670895613261</v>
      </c>
      <c r="AP18" s="1">
        <f t="shared" si="12"/>
        <v>54.038243212191105</v>
      </c>
      <c r="AQ18" s="19">
        <v>11.021148197886077</v>
      </c>
      <c r="AR18" s="11">
        <v>12.124475465221199</v>
      </c>
      <c r="AS18" s="11">
        <f t="shared" si="13"/>
        <v>1.2124475465213891E-2</v>
      </c>
      <c r="AU18">
        <v>101.4329010217416</v>
      </c>
      <c r="AV18">
        <v>0</v>
      </c>
      <c r="AW18">
        <v>0</v>
      </c>
      <c r="AY18">
        <v>-11.009789148184952</v>
      </c>
      <c r="BA18">
        <v>-54.038243212191063</v>
      </c>
      <c r="BC18" s="1">
        <f t="shared" si="14"/>
        <v>2.2737367544323206E-13</v>
      </c>
      <c r="BD18" s="1">
        <f t="shared" si="15"/>
        <v>1.2789769243681803E-13</v>
      </c>
      <c r="BE18" s="1">
        <f t="shared" si="16"/>
        <v>-3.4283687000424834E-13</v>
      </c>
      <c r="BF18" s="1">
        <f t="shared" si="17"/>
        <v>0</v>
      </c>
      <c r="BH18">
        <f>362*BC18/1000</f>
        <v>8.2309270510450003E-14</v>
      </c>
      <c r="BI18">
        <f t="shared" ref="BI18:BK18" si="23">362*BD18/1000</f>
        <v>4.6298964662128128E-14</v>
      </c>
      <c r="BJ18">
        <f t="shared" si="23"/>
        <v>-1.241069469415379E-13</v>
      </c>
      <c r="BK18">
        <f t="shared" si="23"/>
        <v>0</v>
      </c>
      <c r="BM18" s="1">
        <f t="shared" si="22"/>
        <v>5.6843418860808015E-14</v>
      </c>
    </row>
    <row r="19" spans="2:65" x14ac:dyDescent="0.25">
      <c r="B19" t="s">
        <v>13</v>
      </c>
      <c r="C19" s="11">
        <v>366.14329133015917</v>
      </c>
      <c r="D19" s="4">
        <v>2.9042639999999986</v>
      </c>
      <c r="E19" s="5">
        <v>0</v>
      </c>
      <c r="F19" s="5">
        <v>175.89521992779251</v>
      </c>
      <c r="G19" s="5">
        <v>115.12714925</v>
      </c>
      <c r="H19" s="6">
        <v>293.9266331777925</v>
      </c>
      <c r="I19" s="11">
        <f t="shared" si="1"/>
        <v>-105.16955437208105</v>
      </c>
      <c r="J19" s="1">
        <f t="shared" si="2"/>
        <v>402.7979002532004</v>
      </c>
      <c r="K19" s="1">
        <f t="shared" si="3"/>
        <v>-108.8712670754079</v>
      </c>
      <c r="L19" s="4">
        <v>353.65787388253852</v>
      </c>
      <c r="M19" s="4">
        <v>0</v>
      </c>
      <c r="N19" s="5">
        <v>0</v>
      </c>
      <c r="O19" s="5">
        <v>0</v>
      </c>
      <c r="P19" s="5">
        <v>7.0921249425000008</v>
      </c>
      <c r="Q19" s="5">
        <v>238.82447523292453</v>
      </c>
      <c r="R19" s="5">
        <v>163.42439235000006</v>
      </c>
      <c r="S19" s="6">
        <v>409.34099252542461</v>
      </c>
      <c r="T19" s="11">
        <f t="shared" si="4"/>
        <v>18.842429315597883</v>
      </c>
      <c r="U19" s="5">
        <f t="shared" si="5"/>
        <v>389.06256752754513</v>
      </c>
      <c r="V19" s="1">
        <f t="shared" si="6"/>
        <v>20.278424997879483</v>
      </c>
      <c r="W19" s="4">
        <v>639.58897407298616</v>
      </c>
      <c r="X19" s="4">
        <v>16.321963680000003</v>
      </c>
      <c r="Y19" s="5">
        <v>0</v>
      </c>
      <c r="Z19" s="5">
        <v>0</v>
      </c>
      <c r="AA19" s="5">
        <v>32.508767304000017</v>
      </c>
      <c r="AB19" s="5">
        <v>230.13249999999999</v>
      </c>
      <c r="AC19" s="5">
        <v>447.50566037735848</v>
      </c>
      <c r="AD19" s="6">
        <v>726.46889136135849</v>
      </c>
      <c r="AE19" s="11">
        <f t="shared" si="7"/>
        <v>21.497717065850111</v>
      </c>
      <c r="AF19" s="5">
        <f t="shared" si="8"/>
        <v>703.61823330361517</v>
      </c>
      <c r="AG19" s="1">
        <f t="shared" si="9"/>
        <v>22.850658057743317</v>
      </c>
      <c r="AH19" s="11">
        <v>270.34451225976665</v>
      </c>
      <c r="AI19" s="4">
        <v>347.30498383613354</v>
      </c>
      <c r="AJ19" s="5">
        <v>0</v>
      </c>
      <c r="AK19" s="5">
        <v>0</v>
      </c>
      <c r="AL19" s="5">
        <v>15.84590453983019</v>
      </c>
      <c r="AM19" s="6">
        <v>363.15088837596375</v>
      </c>
      <c r="AN19" s="11">
        <f t="shared" si="10"/>
        <v>60.122796162360373</v>
      </c>
      <c r="AO19" s="5">
        <f t="shared" si="11"/>
        <v>297.40870435617893</v>
      </c>
      <c r="AP19" s="1">
        <f t="shared" si="12"/>
        <v>65.742184019784816</v>
      </c>
      <c r="AQ19" s="19">
        <v>10.748396485125969</v>
      </c>
      <c r="AR19" s="11">
        <v>11.824418575496107</v>
      </c>
      <c r="AS19" s="11">
        <f t="shared" si="13"/>
        <v>1.1824418575489659E-2</v>
      </c>
      <c r="AU19">
        <v>108.87126707540801</v>
      </c>
      <c r="AV19">
        <v>0</v>
      </c>
      <c r="AW19">
        <v>0</v>
      </c>
      <c r="AY19">
        <v>-22.850658057743665</v>
      </c>
      <c r="BA19">
        <v>-65.742184019784887</v>
      </c>
      <c r="BC19" s="1">
        <f t="shared" si="14"/>
        <v>1.1368683772161603E-13</v>
      </c>
      <c r="BD19" s="1">
        <f t="shared" si="15"/>
        <v>0</v>
      </c>
      <c r="BE19" s="1">
        <f t="shared" si="16"/>
        <v>-3.4816594052244909E-13</v>
      </c>
      <c r="BF19" s="1">
        <f t="shared" si="17"/>
        <v>0</v>
      </c>
      <c r="BH19">
        <f t="shared" ref="BH19:BH29" si="24">362*BC19/1000</f>
        <v>4.1154635255225001E-14</v>
      </c>
      <c r="BI19">
        <f t="shared" ref="BI19:BI29" si="25">362*BD19/1000</f>
        <v>0</v>
      </c>
      <c r="BJ19">
        <f t="shared" ref="BJ19:BJ29" si="26">362*BE19/1000</f>
        <v>-1.2603607046912657E-13</v>
      </c>
      <c r="BK19">
        <f t="shared" ref="BK19:BK29" si="27">362*BF19/1000</f>
        <v>0</v>
      </c>
      <c r="BM19" s="1">
        <f t="shared" si="22"/>
        <v>-2.8421709430404007E-13</v>
      </c>
    </row>
    <row r="20" spans="2:65" x14ac:dyDescent="0.25">
      <c r="B20" t="s">
        <v>14</v>
      </c>
      <c r="C20" s="11">
        <v>365.24928126003135</v>
      </c>
      <c r="D20" s="4">
        <v>2.8789260000000003</v>
      </c>
      <c r="E20" s="5">
        <v>8.2080000000000014E-2</v>
      </c>
      <c r="F20" s="5">
        <v>177.99370355553467</v>
      </c>
      <c r="G20" s="5">
        <v>114.57678916666669</v>
      </c>
      <c r="H20" s="6">
        <v>295.53149872220138</v>
      </c>
      <c r="I20" s="11">
        <f t="shared" si="1"/>
        <v>-102.59021785123281</v>
      </c>
      <c r="J20" s="1">
        <f t="shared" si="2"/>
        <v>401.81439082511696</v>
      </c>
      <c r="K20" s="1">
        <f t="shared" si="3"/>
        <v>-106.28289210291558</v>
      </c>
      <c r="L20" s="4">
        <v>353.03019998423264</v>
      </c>
      <c r="M20" s="4">
        <v>0</v>
      </c>
      <c r="N20" s="5">
        <v>0.03</v>
      </c>
      <c r="O20" s="5">
        <v>0.1598184</v>
      </c>
      <c r="P20" s="5">
        <v>6.4205272124999988</v>
      </c>
      <c r="Q20" s="5">
        <v>241.67372407201267</v>
      </c>
      <c r="R20" s="5">
        <v>162.64314949999999</v>
      </c>
      <c r="S20" s="6">
        <v>410.92721918451269</v>
      </c>
      <c r="T20" s="11">
        <f t="shared" si="4"/>
        <v>20.913569473673931</v>
      </c>
      <c r="U20" s="5">
        <f t="shared" si="5"/>
        <v>388.37205718837475</v>
      </c>
      <c r="V20" s="1">
        <f t="shared" si="6"/>
        <v>22.55516199613794</v>
      </c>
      <c r="W20" s="4">
        <v>638.27967664501023</v>
      </c>
      <c r="X20" s="4">
        <v>16.179564119999998</v>
      </c>
      <c r="Y20" s="5">
        <v>0</v>
      </c>
      <c r="Z20" s="5">
        <v>4.5900000000000003E-3</v>
      </c>
      <c r="AA20" s="5">
        <v>29.430308519999993</v>
      </c>
      <c r="AB20" s="5">
        <v>226.18375000000003</v>
      </c>
      <c r="AC20" s="5">
        <v>447.50566037735848</v>
      </c>
      <c r="AD20" s="6">
        <v>719.30387301735846</v>
      </c>
      <c r="AE20" s="11">
        <f t="shared" si="7"/>
        <v>16.286847800785949</v>
      </c>
      <c r="AF20" s="5">
        <f t="shared" si="8"/>
        <v>702.1778620957208</v>
      </c>
      <c r="AG20" s="1">
        <f t="shared" si="9"/>
        <v>17.126010921637658</v>
      </c>
      <c r="AH20" s="11">
        <v>269.99388519357336</v>
      </c>
      <c r="AI20" s="4">
        <v>347.39168802114341</v>
      </c>
      <c r="AJ20" s="5">
        <v>1.8201600000000002E-2</v>
      </c>
      <c r="AK20" s="5">
        <v>0.17985456</v>
      </c>
      <c r="AL20" s="5">
        <v>16.034951014528307</v>
      </c>
      <c r="AM20" s="6">
        <v>363.62469519567173</v>
      </c>
      <c r="AN20" s="11">
        <f t="shared" si="10"/>
        <v>60.904587434487951</v>
      </c>
      <c r="AO20" s="5">
        <f t="shared" si="11"/>
        <v>297.02297601053175</v>
      </c>
      <c r="AP20" s="1">
        <f t="shared" si="12"/>
        <v>66.601719185139984</v>
      </c>
      <c r="AQ20" s="19">
        <v>10.715394638393423</v>
      </c>
      <c r="AR20" s="11">
        <v>11.788112913524111</v>
      </c>
      <c r="AS20" s="11">
        <f t="shared" si="13"/>
        <v>1.1788112913517779E-2</v>
      </c>
      <c r="AU20">
        <v>106.28289210291575</v>
      </c>
      <c r="AV20">
        <v>0</v>
      </c>
      <c r="AW20">
        <v>0</v>
      </c>
      <c r="AY20">
        <v>-17.126010921638002</v>
      </c>
      <c r="BA20">
        <v>-66.601719185139856</v>
      </c>
      <c r="BC20" s="1">
        <f t="shared" si="14"/>
        <v>1.7053025658242404E-13</v>
      </c>
      <c r="BD20" s="1">
        <f t="shared" si="15"/>
        <v>0</v>
      </c>
      <c r="BE20" s="1">
        <f t="shared" si="16"/>
        <v>-3.4461322684364859E-13</v>
      </c>
      <c r="BF20" s="1">
        <f t="shared" si="17"/>
        <v>1.2789769243681803E-13</v>
      </c>
      <c r="BH20">
        <f t="shared" si="24"/>
        <v>6.1731952882837508E-14</v>
      </c>
      <c r="BI20">
        <f t="shared" si="25"/>
        <v>0</v>
      </c>
      <c r="BJ20">
        <f t="shared" si="26"/>
        <v>-1.2474998811740078E-13</v>
      </c>
      <c r="BK20">
        <f t="shared" si="27"/>
        <v>4.6298964662128128E-14</v>
      </c>
      <c r="BM20" s="1">
        <f t="shared" si="22"/>
        <v>0</v>
      </c>
    </row>
    <row r="21" spans="2:65" x14ac:dyDescent="0.25">
      <c r="B21" t="s">
        <v>15</v>
      </c>
      <c r="C21" s="11">
        <v>352.13672786404413</v>
      </c>
      <c r="D21" s="4">
        <v>2.8621477499999997</v>
      </c>
      <c r="E21" s="5">
        <v>32.011200000000002</v>
      </c>
      <c r="F21" s="5">
        <v>211.24783980893085</v>
      </c>
      <c r="G21" s="5">
        <v>115.15523445941781</v>
      </c>
      <c r="H21" s="6">
        <v>361.27642201834868</v>
      </c>
      <c r="I21" s="11">
        <f t="shared" si="1"/>
        <v>-22.55261135345944</v>
      </c>
      <c r="J21" s="1">
        <f t="shared" si="2"/>
        <v>387.38913956440496</v>
      </c>
      <c r="K21" s="1">
        <f t="shared" si="3"/>
        <v>-26.112717546056274</v>
      </c>
      <c r="L21" s="4">
        <v>343.05188800894638</v>
      </c>
      <c r="M21" s="4">
        <v>0</v>
      </c>
      <c r="N21" s="5">
        <v>11.700000000000003</v>
      </c>
      <c r="O21" s="5">
        <v>62.32917599999999</v>
      </c>
      <c r="P21" s="5">
        <v>6.1900162875000033</v>
      </c>
      <c r="Q21" s="5">
        <v>286.82504565597492</v>
      </c>
      <c r="R21" s="5">
        <v>173.88597815</v>
      </c>
      <c r="S21" s="6">
        <v>540.93021609347488</v>
      </c>
      <c r="T21" s="11">
        <f t="shared" si="4"/>
        <v>149.19460863611579</v>
      </c>
      <c r="U21" s="5">
        <f t="shared" si="5"/>
        <v>377.39481629147014</v>
      </c>
      <c r="V21" s="1">
        <f t="shared" si="6"/>
        <v>163.53539980200475</v>
      </c>
      <c r="W21" s="4">
        <v>620.7412577120532</v>
      </c>
      <c r="X21" s="4">
        <v>16.085270355000002</v>
      </c>
      <c r="Y21" s="5">
        <v>0</v>
      </c>
      <c r="Z21" s="5">
        <v>1.7901</v>
      </c>
      <c r="AA21" s="5">
        <v>28.373696280000001</v>
      </c>
      <c r="AB21" s="5">
        <v>192.21583333333339</v>
      </c>
      <c r="AC21" s="5">
        <v>431.656603773585</v>
      </c>
      <c r="AD21" s="6">
        <v>670.12150374191845</v>
      </c>
      <c r="AE21" s="11">
        <f t="shared" si="7"/>
        <v>-10.930689306907425</v>
      </c>
      <c r="AF21" s="5">
        <f t="shared" si="8"/>
        <v>682.88367185044353</v>
      </c>
      <c r="AG21" s="1">
        <f t="shared" si="9"/>
        <v>-12.762168108525088</v>
      </c>
      <c r="AH21" s="11">
        <v>264.04082026745851</v>
      </c>
      <c r="AI21" s="4">
        <v>69.540810730806911</v>
      </c>
      <c r="AJ21" s="5">
        <v>7.098624</v>
      </c>
      <c r="AK21" s="5">
        <v>70.143278399999986</v>
      </c>
      <c r="AL21" s="5">
        <v>19.030722410943408</v>
      </c>
      <c r="AM21" s="6">
        <v>165.81343554175032</v>
      </c>
      <c r="AN21" s="11">
        <f t="shared" si="10"/>
        <v>-113.15059392446571</v>
      </c>
      <c r="AO21" s="5">
        <f t="shared" si="11"/>
        <v>290.47394968917325</v>
      </c>
      <c r="AP21" s="1">
        <f t="shared" si="12"/>
        <v>-124.66051414742293</v>
      </c>
      <c r="AQ21" s="19">
        <v>10.422701166298157</v>
      </c>
      <c r="AR21" s="11">
        <v>11.466117894717438</v>
      </c>
      <c r="AS21" s="11">
        <f t="shared" si="13"/>
        <v>1.1466117894711303E-2</v>
      </c>
      <c r="AU21">
        <v>26.112717546056501</v>
      </c>
      <c r="AV21">
        <v>124.66051414742306</v>
      </c>
      <c r="AW21">
        <v>12.76216810852509</v>
      </c>
      <c r="AY21">
        <v>0</v>
      </c>
      <c r="BA21">
        <v>0</v>
      </c>
      <c r="BC21" s="1">
        <f t="shared" si="14"/>
        <v>2.2737367544323206E-13</v>
      </c>
      <c r="BD21" s="1">
        <f t="shared" si="15"/>
        <v>9.7699626167013776E-14</v>
      </c>
      <c r="BE21" s="1">
        <f t="shared" si="16"/>
        <v>0</v>
      </c>
      <c r="BF21" s="1">
        <f t="shared" si="17"/>
        <v>1.2789769243681803E-13</v>
      </c>
      <c r="BH21">
        <f t="shared" si="24"/>
        <v>8.2309270510450003E-14</v>
      </c>
      <c r="BI21">
        <f t="shared" si="25"/>
        <v>3.5367264672458987E-14</v>
      </c>
      <c r="BJ21">
        <f t="shared" si="26"/>
        <v>0</v>
      </c>
      <c r="BK21">
        <f t="shared" si="27"/>
        <v>4.6298964662128128E-14</v>
      </c>
      <c r="BM21" s="1">
        <f t="shared" si="22"/>
        <v>4.5474735088646412E-13</v>
      </c>
    </row>
    <row r="22" spans="2:65" x14ac:dyDescent="0.25">
      <c r="B22" t="s">
        <v>16</v>
      </c>
      <c r="C22" s="11">
        <v>290.12149668561233</v>
      </c>
      <c r="D22" s="4">
        <v>2.8475259999999998</v>
      </c>
      <c r="E22" s="5">
        <v>141.45120000000003</v>
      </c>
      <c r="F22" s="5">
        <v>0</v>
      </c>
      <c r="G22" s="5">
        <v>0</v>
      </c>
      <c r="H22" s="6">
        <v>144.29872600000002</v>
      </c>
      <c r="I22" s="11">
        <f t="shared" si="1"/>
        <v>-171.93370538731742</v>
      </c>
      <c r="J22" s="1">
        <f t="shared" si="2"/>
        <v>319.16556291046459</v>
      </c>
      <c r="K22" s="1">
        <f t="shared" si="3"/>
        <v>-174.86683691046457</v>
      </c>
      <c r="L22" s="4">
        <v>296.90523357524069</v>
      </c>
      <c r="M22" s="4">
        <v>0</v>
      </c>
      <c r="N22" s="5">
        <v>51.700000000000017</v>
      </c>
      <c r="O22" s="5">
        <v>275.42037599999998</v>
      </c>
      <c r="P22" s="5">
        <v>6.9081449400000015</v>
      </c>
      <c r="Q22" s="5">
        <v>48.265366618502469</v>
      </c>
      <c r="R22" s="5">
        <v>0</v>
      </c>
      <c r="S22" s="6">
        <v>382.29388755850243</v>
      </c>
      <c r="T22" s="11">
        <f t="shared" si="4"/>
        <v>50.982204102996548</v>
      </c>
      <c r="U22" s="5">
        <f t="shared" si="5"/>
        <v>326.62841977474221</v>
      </c>
      <c r="V22" s="1">
        <f t="shared" si="6"/>
        <v>55.665467783760221</v>
      </c>
      <c r="W22" s="4">
        <v>535.5397511659387</v>
      </c>
      <c r="X22" s="4">
        <v>16.003096119999999</v>
      </c>
      <c r="Y22" s="5">
        <v>0</v>
      </c>
      <c r="Z22" s="5">
        <v>7.9101000000000008</v>
      </c>
      <c r="AA22" s="5">
        <v>31.665442752000004</v>
      </c>
      <c r="AB22" s="5">
        <v>191.85291666666669</v>
      </c>
      <c r="AC22" s="5">
        <v>380.31320754716984</v>
      </c>
      <c r="AD22" s="6">
        <v>627.74476308583655</v>
      </c>
      <c r="AE22" s="11">
        <f t="shared" si="7"/>
        <v>35.707983242172531</v>
      </c>
      <c r="AF22" s="5">
        <f t="shared" si="8"/>
        <v>589.15264154668716</v>
      </c>
      <c r="AG22" s="1">
        <f t="shared" si="9"/>
        <v>38.592121539149389</v>
      </c>
      <c r="AH22" s="11">
        <v>236.98314914451251</v>
      </c>
      <c r="AI22" s="4">
        <v>0</v>
      </c>
      <c r="AJ22" s="5">
        <v>31.367424000000018</v>
      </c>
      <c r="AK22" s="5">
        <v>309.94935840000005</v>
      </c>
      <c r="AL22" s="5">
        <v>0</v>
      </c>
      <c r="AM22" s="6">
        <v>341.31678240000008</v>
      </c>
      <c r="AN22" s="11">
        <f t="shared" si="10"/>
        <v>73.615122839487555</v>
      </c>
      <c r="AO22" s="5">
        <f t="shared" si="11"/>
        <v>260.70753481244498</v>
      </c>
      <c r="AP22" s="1">
        <f t="shared" si="12"/>
        <v>80.609247587555103</v>
      </c>
      <c r="AQ22" s="19">
        <v>8.7793739809366969</v>
      </c>
      <c r="AR22" s="11">
        <v>9.6582772067510376</v>
      </c>
      <c r="AS22" s="11">
        <f t="shared" si="13"/>
        <v>9.658277206748167E-3</v>
      </c>
      <c r="AU22">
        <v>174.86683691046477</v>
      </c>
      <c r="AV22">
        <v>0</v>
      </c>
      <c r="AW22">
        <v>0</v>
      </c>
      <c r="AY22">
        <v>-38.592121539149502</v>
      </c>
      <c r="BA22">
        <v>-80.609247587555004</v>
      </c>
      <c r="BC22" s="1">
        <f t="shared" si="14"/>
        <v>0</v>
      </c>
      <c r="BD22" s="1">
        <f t="shared" si="15"/>
        <v>0</v>
      </c>
      <c r="BE22" s="1">
        <f t="shared" si="16"/>
        <v>-1.1368683772161603E-13</v>
      </c>
      <c r="BF22" s="1">
        <f t="shared" si="17"/>
        <v>0</v>
      </c>
      <c r="BH22">
        <f t="shared" si="24"/>
        <v>0</v>
      </c>
      <c r="BI22">
        <f t="shared" si="25"/>
        <v>0</v>
      </c>
      <c r="BJ22">
        <f t="shared" si="26"/>
        <v>-4.1154635255225001E-14</v>
      </c>
      <c r="BK22">
        <f t="shared" si="27"/>
        <v>0</v>
      </c>
      <c r="BM22" s="1">
        <f t="shared" si="22"/>
        <v>1.4210854715202004E-13</v>
      </c>
    </row>
    <row r="23" spans="2:65" x14ac:dyDescent="0.25">
      <c r="B23" t="s">
        <v>17</v>
      </c>
      <c r="C23" s="11">
        <v>257.1080402730293</v>
      </c>
      <c r="D23" s="4">
        <v>2.8955875</v>
      </c>
      <c r="E23" s="5">
        <v>197.64864000000006</v>
      </c>
      <c r="F23" s="5">
        <v>0</v>
      </c>
      <c r="G23" s="5">
        <v>0</v>
      </c>
      <c r="H23" s="6">
        <v>200.54422750000006</v>
      </c>
      <c r="I23" s="11">
        <f t="shared" si="1"/>
        <v>-79.70353639760188</v>
      </c>
      <c r="J23" s="1">
        <f t="shared" si="2"/>
        <v>282.84712901323354</v>
      </c>
      <c r="K23" s="1">
        <f t="shared" si="3"/>
        <v>-82.302901513233479</v>
      </c>
      <c r="L23" s="4">
        <v>272.39179189256612</v>
      </c>
      <c r="M23" s="4">
        <v>0</v>
      </c>
      <c r="N23" s="5">
        <v>72.239999999999981</v>
      </c>
      <c r="O23" s="5">
        <v>384.84270719999989</v>
      </c>
      <c r="P23" s="5">
        <v>8.8433323987500003</v>
      </c>
      <c r="Q23" s="5">
        <v>0</v>
      </c>
      <c r="R23" s="5">
        <v>0</v>
      </c>
      <c r="S23" s="6">
        <v>465.92603959874987</v>
      </c>
      <c r="T23" s="11">
        <f t="shared" si="4"/>
        <v>151.60090414229626</v>
      </c>
      <c r="U23" s="5">
        <f t="shared" si="5"/>
        <v>299.66093717554025</v>
      </c>
      <c r="V23" s="1">
        <f t="shared" si="6"/>
        <v>166.26510242320961</v>
      </c>
      <c r="W23" s="4">
        <v>490.07006026367208</v>
      </c>
      <c r="X23" s="4">
        <v>16.273201750000002</v>
      </c>
      <c r="Y23" s="5">
        <v>0</v>
      </c>
      <c r="Z23" s="5">
        <v>11.052719999999997</v>
      </c>
      <c r="AA23" s="5">
        <v>21.676606728001726</v>
      </c>
      <c r="AB23" s="5">
        <v>241.16624999999996</v>
      </c>
      <c r="AC23" s="5">
        <v>0</v>
      </c>
      <c r="AD23" s="6">
        <v>290.16877847800168</v>
      </c>
      <c r="AE23" s="11">
        <f t="shared" si="7"/>
        <v>-226.01647184869051</v>
      </c>
      <c r="AF23" s="5">
        <f t="shared" si="8"/>
        <v>539.13097938797807</v>
      </c>
      <c r="AG23" s="1">
        <f t="shared" si="9"/>
        <v>-248.96220090997639</v>
      </c>
      <c r="AH23" s="11">
        <v>222.63421732580798</v>
      </c>
      <c r="AI23" s="4">
        <v>0</v>
      </c>
      <c r="AJ23" s="5">
        <v>0</v>
      </c>
      <c r="AK23" s="5">
        <v>409.92213127151609</v>
      </c>
      <c r="AL23" s="5">
        <v>0</v>
      </c>
      <c r="AM23" s="6">
        <v>409.92213127151609</v>
      </c>
      <c r="AN23" s="11">
        <f t="shared" si="10"/>
        <v>150.3949221312717</v>
      </c>
      <c r="AO23" s="5">
        <f t="shared" si="11"/>
        <v>244.92213127151592</v>
      </c>
      <c r="AP23" s="1">
        <f t="shared" si="12"/>
        <v>165.00000000000017</v>
      </c>
      <c r="AQ23" s="19">
        <v>7.8915557416999365</v>
      </c>
      <c r="AR23" s="11">
        <v>8.6815794738173082</v>
      </c>
      <c r="AS23" s="11">
        <f t="shared" si="13"/>
        <v>8.6815794738139829E-3</v>
      </c>
      <c r="AU23">
        <v>82.30290151323355</v>
      </c>
      <c r="AV23">
        <v>0</v>
      </c>
      <c r="AW23">
        <v>248.96220090997616</v>
      </c>
      <c r="AY23">
        <v>0</v>
      </c>
      <c r="BA23">
        <v>-165</v>
      </c>
      <c r="BC23" s="1">
        <f t="shared" si="14"/>
        <v>0</v>
      </c>
      <c r="BD23" s="1">
        <f t="shared" si="15"/>
        <v>0</v>
      </c>
      <c r="BE23" s="1">
        <f t="shared" si="16"/>
        <v>-2.2737367544323206E-13</v>
      </c>
      <c r="BF23" s="1">
        <f t="shared" si="17"/>
        <v>0</v>
      </c>
      <c r="BH23">
        <f t="shared" si="24"/>
        <v>0</v>
      </c>
      <c r="BI23">
        <f t="shared" si="25"/>
        <v>0</v>
      </c>
      <c r="BJ23">
        <f t="shared" si="26"/>
        <v>-8.2309270510450003E-14</v>
      </c>
      <c r="BK23">
        <f t="shared" si="27"/>
        <v>0</v>
      </c>
      <c r="BM23" s="1">
        <f t="shared" si="22"/>
        <v>0</v>
      </c>
    </row>
    <row r="24" spans="2:65" x14ac:dyDescent="0.25">
      <c r="B24" t="s">
        <v>18</v>
      </c>
      <c r="C24" s="11">
        <v>257.51476410403706</v>
      </c>
      <c r="D24" s="4">
        <v>2.9146142500000001</v>
      </c>
      <c r="E24" s="5">
        <v>192.3408</v>
      </c>
      <c r="F24" s="5">
        <v>0</v>
      </c>
      <c r="G24" s="5">
        <v>0</v>
      </c>
      <c r="H24" s="6">
        <v>195.25541425</v>
      </c>
      <c r="I24" s="11">
        <f t="shared" si="1"/>
        <v>-85.435678623400406</v>
      </c>
      <c r="J24" s="1">
        <f t="shared" si="2"/>
        <v>283.29456997143791</v>
      </c>
      <c r="K24" s="1">
        <f t="shared" si="3"/>
        <v>-88.039155721437908</v>
      </c>
      <c r="L24" s="4">
        <v>272.80998396272707</v>
      </c>
      <c r="M24" s="4">
        <v>0</v>
      </c>
      <c r="N24" s="5">
        <v>70.3</v>
      </c>
      <c r="O24" s="5">
        <v>374.50778400000007</v>
      </c>
      <c r="P24" s="5">
        <v>0</v>
      </c>
      <c r="Q24" s="5">
        <v>0</v>
      </c>
      <c r="R24" s="5">
        <v>0</v>
      </c>
      <c r="S24" s="6">
        <v>444.80778400000008</v>
      </c>
      <c r="T24" s="11">
        <f t="shared" si="4"/>
        <v>131.96509947727304</v>
      </c>
      <c r="U24" s="5">
        <f t="shared" si="5"/>
        <v>300.12099445844564</v>
      </c>
      <c r="V24" s="1">
        <f t="shared" si="6"/>
        <v>144.68678954155445</v>
      </c>
      <c r="W24" s="4">
        <v>490.37967331254731</v>
      </c>
      <c r="X24" s="4">
        <v>16.380132085</v>
      </c>
      <c r="Y24" s="5">
        <v>0</v>
      </c>
      <c r="Z24" s="5">
        <v>10.755900000000002</v>
      </c>
      <c r="AA24" s="5">
        <v>0</v>
      </c>
      <c r="AB24" s="5">
        <v>290.68792189746608</v>
      </c>
      <c r="AC24" s="5">
        <v>0</v>
      </c>
      <c r="AD24" s="6">
        <v>317.82395398246609</v>
      </c>
      <c r="AE24" s="11">
        <f t="shared" si="7"/>
        <v>-201.15987518850318</v>
      </c>
      <c r="AF24" s="5">
        <f t="shared" si="8"/>
        <v>539.47158780258223</v>
      </c>
      <c r="AG24" s="1">
        <f t="shared" si="9"/>
        <v>-221.64763382011614</v>
      </c>
      <c r="AH24" s="11">
        <v>222.93293621049708</v>
      </c>
      <c r="AI24" s="4">
        <v>0</v>
      </c>
      <c r="AJ24" s="5">
        <v>0</v>
      </c>
      <c r="AK24" s="5">
        <v>410.25075490703745</v>
      </c>
      <c r="AL24" s="5">
        <v>0</v>
      </c>
      <c r="AM24" s="6">
        <v>410.25075490703745</v>
      </c>
      <c r="AN24" s="11">
        <f t="shared" si="10"/>
        <v>150.39525075490701</v>
      </c>
      <c r="AO24" s="5">
        <f t="shared" si="11"/>
        <v>245.25075490703748</v>
      </c>
      <c r="AP24" s="1">
        <f t="shared" si="12"/>
        <v>164.99999999999997</v>
      </c>
      <c r="AQ24" s="19">
        <v>7.8737005162490981</v>
      </c>
      <c r="AR24" s="11">
        <v>8.661936761550157</v>
      </c>
      <c r="AS24" s="11">
        <f t="shared" si="13"/>
        <v>8.6619367615448084E-3</v>
      </c>
      <c r="AU24">
        <v>88.039155721438036</v>
      </c>
      <c r="AV24">
        <v>0</v>
      </c>
      <c r="AW24">
        <v>221.6476338201162</v>
      </c>
      <c r="AY24">
        <v>0</v>
      </c>
      <c r="BA24">
        <v>-165</v>
      </c>
      <c r="BC24" s="1">
        <f t="shared" si="14"/>
        <v>1.2789769243681803E-13</v>
      </c>
      <c r="BD24" s="1">
        <f t="shared" si="15"/>
        <v>2.2737367544323206E-13</v>
      </c>
      <c r="BE24" s="1">
        <f t="shared" si="16"/>
        <v>0</v>
      </c>
      <c r="BF24" s="1">
        <f t="shared" si="17"/>
        <v>0</v>
      </c>
      <c r="BH24">
        <f t="shared" si="24"/>
        <v>4.6298964662128128E-14</v>
      </c>
      <c r="BI24">
        <f t="shared" si="25"/>
        <v>8.2309270510450003E-14</v>
      </c>
      <c r="BJ24">
        <f t="shared" si="26"/>
        <v>0</v>
      </c>
      <c r="BK24">
        <f t="shared" si="27"/>
        <v>0</v>
      </c>
      <c r="BM24" s="1">
        <f t="shared" si="22"/>
        <v>3.694822225952521E-13</v>
      </c>
    </row>
    <row r="25" spans="2:65" x14ac:dyDescent="0.25">
      <c r="B25" t="s">
        <v>19</v>
      </c>
      <c r="C25" s="11">
        <v>289.59311793767552</v>
      </c>
      <c r="D25" s="4">
        <v>2.9185282500000005</v>
      </c>
      <c r="E25" s="5">
        <v>151.24607999999998</v>
      </c>
      <c r="F25" s="5">
        <v>0</v>
      </c>
      <c r="G25" s="5">
        <v>0</v>
      </c>
      <c r="H25" s="6">
        <v>154.16460824999999</v>
      </c>
      <c r="I25" s="11">
        <f t="shared" si="1"/>
        <v>-161.49189030206637</v>
      </c>
      <c r="J25" s="1">
        <f t="shared" si="2"/>
        <v>318.58428816025906</v>
      </c>
      <c r="K25" s="1">
        <f t="shared" si="3"/>
        <v>-164.41967991025908</v>
      </c>
      <c r="L25" s="4">
        <v>296.28959925788195</v>
      </c>
      <c r="M25" s="4">
        <v>0</v>
      </c>
      <c r="N25" s="5">
        <v>55.280000000000008</v>
      </c>
      <c r="O25" s="5">
        <v>294.49203839999996</v>
      </c>
      <c r="P25" s="5">
        <v>11.9649389175</v>
      </c>
      <c r="Q25" s="5">
        <v>0</v>
      </c>
      <c r="R25" s="5">
        <v>0</v>
      </c>
      <c r="S25" s="6">
        <v>361.73697731749996</v>
      </c>
      <c r="T25" s="11">
        <f t="shared" si="4"/>
        <v>32.891050101043049</v>
      </c>
      <c r="U25" s="5">
        <f t="shared" si="5"/>
        <v>325.95115429910004</v>
      </c>
      <c r="V25" s="1">
        <f t="shared" si="6"/>
        <v>35.785823018399924</v>
      </c>
      <c r="W25" s="4">
        <v>535.29357520302437</v>
      </c>
      <c r="X25" s="4">
        <v>16.402128765</v>
      </c>
      <c r="Y25" s="5">
        <v>0</v>
      </c>
      <c r="Z25" s="5">
        <v>8.4578400000000009</v>
      </c>
      <c r="AA25" s="5">
        <v>54.844692984000005</v>
      </c>
      <c r="AB25" s="5">
        <v>346.71541666666673</v>
      </c>
      <c r="AC25" s="5">
        <v>186.34118986101021</v>
      </c>
      <c r="AD25" s="6">
        <v>612.7612682766769</v>
      </c>
      <c r="AE25" s="11">
        <f t="shared" si="7"/>
        <v>22.319178928751626</v>
      </c>
      <c r="AF25" s="5">
        <f t="shared" si="8"/>
        <v>588.88182090541738</v>
      </c>
      <c r="AG25" s="1">
        <f t="shared" si="9"/>
        <v>23.879447371259516</v>
      </c>
      <c r="AH25" s="11">
        <v>236.51914084721477</v>
      </c>
      <c r="AI25" s="4">
        <v>0</v>
      </c>
      <c r="AJ25" s="5">
        <v>33.539481600000009</v>
      </c>
      <c r="AK25" s="5">
        <v>331.41200256000002</v>
      </c>
      <c r="AL25" s="5">
        <v>0</v>
      </c>
      <c r="AM25" s="6">
        <v>364.95148416000001</v>
      </c>
      <c r="AN25" s="11">
        <f t="shared" si="10"/>
        <v>95.586709738385252</v>
      </c>
      <c r="AO25" s="5">
        <f t="shared" si="11"/>
        <v>260.19707463940017</v>
      </c>
      <c r="AP25" s="1">
        <f t="shared" si="12"/>
        <v>104.75440952059984</v>
      </c>
      <c r="AQ25" s="19">
        <v>8.8205010303435838</v>
      </c>
      <c r="AR25" s="11">
        <v>9.7035214855264922</v>
      </c>
      <c r="AS25" s="11">
        <f t="shared" si="13"/>
        <v>9.7035214855250018E-3</v>
      </c>
      <c r="AU25">
        <v>164.41967991025911</v>
      </c>
      <c r="AV25">
        <v>0</v>
      </c>
      <c r="AW25">
        <v>0</v>
      </c>
      <c r="AY25">
        <v>-23.87944737125957</v>
      </c>
      <c r="BA25">
        <v>-104.75440952059975</v>
      </c>
      <c r="BC25" s="1">
        <f t="shared" si="14"/>
        <v>0</v>
      </c>
      <c r="BD25" s="1">
        <f t="shared" si="15"/>
        <v>1.4210854715202004E-13</v>
      </c>
      <c r="BE25" s="1">
        <f t="shared" si="16"/>
        <v>-5.3290705182007514E-14</v>
      </c>
      <c r="BF25" s="1">
        <f t="shared" si="17"/>
        <v>0</v>
      </c>
      <c r="BH25">
        <f t="shared" si="24"/>
        <v>0</v>
      </c>
      <c r="BI25">
        <f t="shared" si="25"/>
        <v>5.1443294069031255E-14</v>
      </c>
      <c r="BJ25">
        <f t="shared" si="26"/>
        <v>-1.9291235275886719E-14</v>
      </c>
      <c r="BK25">
        <f t="shared" si="27"/>
        <v>0</v>
      </c>
      <c r="BM25" s="1">
        <f t="shared" si="22"/>
        <v>1.9895196601282805E-13</v>
      </c>
    </row>
    <row r="26" spans="2:65" x14ac:dyDescent="0.25">
      <c r="B26" t="s">
        <v>20</v>
      </c>
      <c r="C26" s="11">
        <v>352.21129385482493</v>
      </c>
      <c r="D26" s="4">
        <v>2.8414567500000012</v>
      </c>
      <c r="E26" s="5">
        <v>59.343840000000007</v>
      </c>
      <c r="F26" s="5">
        <v>251.03518832974839</v>
      </c>
      <c r="G26" s="5">
        <v>0</v>
      </c>
      <c r="H26" s="6">
        <v>313.22048507974841</v>
      </c>
      <c r="I26" s="11">
        <f t="shared" si="1"/>
        <v>-70.689825222010768</v>
      </c>
      <c r="J26" s="1">
        <f t="shared" si="2"/>
        <v>387.47117035734317</v>
      </c>
      <c r="K26" s="1">
        <f t="shared" si="3"/>
        <v>-74.250685277594755</v>
      </c>
      <c r="L26" s="4">
        <v>342.41626643851697</v>
      </c>
      <c r="M26" s="4">
        <v>0</v>
      </c>
      <c r="N26" s="5">
        <v>21.690000000000012</v>
      </c>
      <c r="O26" s="5">
        <v>115.54870319999998</v>
      </c>
      <c r="P26" s="5">
        <v>11.951048654999999</v>
      </c>
      <c r="Q26" s="5">
        <v>254.36578203171072</v>
      </c>
      <c r="R26" s="5">
        <v>0</v>
      </c>
      <c r="S26" s="6">
        <v>403.55553388671069</v>
      </c>
      <c r="T26" s="11">
        <f t="shared" si="4"/>
        <v>24.819269398389793</v>
      </c>
      <c r="U26" s="5">
        <f t="shared" si="5"/>
        <v>376.69556263863251</v>
      </c>
      <c r="V26" s="1">
        <f t="shared" si="6"/>
        <v>26.859971248078182</v>
      </c>
      <c r="W26" s="4">
        <v>622.33414477781184</v>
      </c>
      <c r="X26" s="4">
        <v>15.968986935000006</v>
      </c>
      <c r="Y26" s="5">
        <v>0</v>
      </c>
      <c r="Z26" s="5">
        <v>3.3185700000000002</v>
      </c>
      <c r="AA26" s="5">
        <v>54.781023024000035</v>
      </c>
      <c r="AB26" s="5">
        <v>313.21874999999994</v>
      </c>
      <c r="AC26" s="5">
        <v>491.25660377358503</v>
      </c>
      <c r="AD26" s="6">
        <v>878.54393373258506</v>
      </c>
      <c r="AE26" s="11">
        <f t="shared" si="7"/>
        <v>177.1408349188406</v>
      </c>
      <c r="AF26" s="5">
        <f t="shared" si="8"/>
        <v>684.63602285787874</v>
      </c>
      <c r="AG26" s="1">
        <f t="shared" si="9"/>
        <v>193.90791087470632</v>
      </c>
      <c r="AH26" s="11">
        <v>263.34802667739729</v>
      </c>
      <c r="AI26" s="4">
        <v>0</v>
      </c>
      <c r="AJ26" s="5">
        <v>13.159756800000004</v>
      </c>
      <c r="AK26" s="5">
        <v>130.03484688</v>
      </c>
      <c r="AL26" s="5">
        <v>0</v>
      </c>
      <c r="AM26" s="6">
        <v>143.19460368</v>
      </c>
      <c r="AN26" s="11">
        <f t="shared" si="10"/>
        <v>-133.04093732859729</v>
      </c>
      <c r="AO26" s="5">
        <f t="shared" si="11"/>
        <v>289.71180052518952</v>
      </c>
      <c r="AP26" s="1">
        <f t="shared" si="12"/>
        <v>-146.51719684518952</v>
      </c>
      <c r="AQ26" s="19">
        <v>10.595943780615197</v>
      </c>
      <c r="AR26" s="11">
        <v>11.656703829059618</v>
      </c>
      <c r="AS26" s="11">
        <f t="shared" si="13"/>
        <v>1.1656703829055814E-2</v>
      </c>
      <c r="AU26">
        <v>74.250685277594926</v>
      </c>
      <c r="AV26">
        <v>146.51719684518955</v>
      </c>
      <c r="AW26">
        <v>0</v>
      </c>
      <c r="AY26">
        <v>-193.90791087470643</v>
      </c>
      <c r="BA26">
        <v>0</v>
      </c>
      <c r="BC26" s="1">
        <f t="shared" si="14"/>
        <v>1.7053025658242404E-13</v>
      </c>
      <c r="BD26" s="1">
        <f t="shared" si="15"/>
        <v>1.4210854715202004E-13</v>
      </c>
      <c r="BE26" s="1">
        <f t="shared" si="16"/>
        <v>-1.1368683772161603E-13</v>
      </c>
      <c r="BF26" s="1">
        <f t="shared" si="17"/>
        <v>2.8421709430404007E-14</v>
      </c>
      <c r="BH26">
        <f t="shared" si="24"/>
        <v>6.1731952882837508E-14</v>
      </c>
      <c r="BI26">
        <f t="shared" si="25"/>
        <v>5.1443294069031255E-14</v>
      </c>
      <c r="BJ26">
        <f t="shared" si="26"/>
        <v>-4.1154635255225001E-14</v>
      </c>
      <c r="BK26">
        <f t="shared" si="27"/>
        <v>1.028865881380625E-14</v>
      </c>
      <c r="BM26" s="1">
        <f t="shared" si="22"/>
        <v>2.2737367544323206E-13</v>
      </c>
    </row>
    <row r="27" spans="2:65" x14ac:dyDescent="0.25">
      <c r="B27" t="s">
        <v>21</v>
      </c>
      <c r="C27" s="11">
        <v>403.39300114283816</v>
      </c>
      <c r="D27" s="4">
        <v>2.8624695000000013</v>
      </c>
      <c r="E27" s="5">
        <v>1.66896</v>
      </c>
      <c r="F27" s="5">
        <v>276.43784837947805</v>
      </c>
      <c r="G27" s="5">
        <v>80.307144138870669</v>
      </c>
      <c r="H27" s="6">
        <v>361.27642201834874</v>
      </c>
      <c r="I27" s="11">
        <f t="shared" si="1"/>
        <v>-78.421949227344896</v>
      </c>
      <c r="J27" s="1">
        <f t="shared" si="2"/>
        <v>443.77667892501444</v>
      </c>
      <c r="K27" s="1">
        <f t="shared" si="3"/>
        <v>-82.500256906665697</v>
      </c>
      <c r="L27" s="4">
        <v>379.6799239712783</v>
      </c>
      <c r="M27" s="4">
        <v>0</v>
      </c>
      <c r="N27" s="5">
        <v>0.61</v>
      </c>
      <c r="O27" s="5">
        <v>3.2496407999999999</v>
      </c>
      <c r="P27" s="5">
        <v>11.175704775000002</v>
      </c>
      <c r="Q27" s="5">
        <v>375.33779542644658</v>
      </c>
      <c r="R27" s="5">
        <v>187.40624140006037</v>
      </c>
      <c r="S27" s="6">
        <v>577.77938240150695</v>
      </c>
      <c r="T27" s="11">
        <f t="shared" si="4"/>
        <v>146.09931401409301</v>
      </c>
      <c r="U27" s="5">
        <f t="shared" si="5"/>
        <v>417.68968533693982</v>
      </c>
      <c r="V27" s="1">
        <f t="shared" si="6"/>
        <v>160.08969706456713</v>
      </c>
      <c r="W27" s="4">
        <v>694.42349654759005</v>
      </c>
      <c r="X27" s="4">
        <v>16.087078590000008</v>
      </c>
      <c r="Y27" s="5">
        <v>0</v>
      </c>
      <c r="Z27" s="5">
        <v>9.333000000000001E-2</v>
      </c>
      <c r="AA27" s="5">
        <v>51.227014320000002</v>
      </c>
      <c r="AB27" s="5">
        <v>280.08500000000021</v>
      </c>
      <c r="AC27" s="5">
        <v>503.86037735849072</v>
      </c>
      <c r="AD27" s="6">
        <v>851.35280026849091</v>
      </c>
      <c r="AE27" s="11">
        <f t="shared" si="7"/>
        <v>80.307551696736709</v>
      </c>
      <c r="AF27" s="5">
        <f t="shared" si="8"/>
        <v>763.94224042639166</v>
      </c>
      <c r="AG27" s="1">
        <f t="shared" si="9"/>
        <v>87.410559842099246</v>
      </c>
      <c r="AH27" s="11">
        <v>284.81670114951567</v>
      </c>
      <c r="AI27" s="4">
        <v>119.39905579313609</v>
      </c>
      <c r="AJ27" s="5">
        <v>0.37009920000000002</v>
      </c>
      <c r="AK27" s="5">
        <v>3.6570427199999997</v>
      </c>
      <c r="AL27" s="5">
        <v>24.903506521754718</v>
      </c>
      <c r="AM27" s="6">
        <v>148.32970423489081</v>
      </c>
      <c r="AN27" s="11">
        <f t="shared" si="10"/>
        <v>-149.83667029576503</v>
      </c>
      <c r="AO27" s="5">
        <f t="shared" si="11"/>
        <v>313.3297042348907</v>
      </c>
      <c r="AP27" s="1">
        <f t="shared" si="12"/>
        <v>-164.99999999999989</v>
      </c>
      <c r="AQ27" s="19">
        <v>12.155794675195892</v>
      </c>
      <c r="AR27" s="11">
        <v>13.372711413856864</v>
      </c>
      <c r="AS27" s="11">
        <f t="shared" si="13"/>
        <v>1.3372711413854432E-2</v>
      </c>
      <c r="AU27">
        <v>82.500256906666138</v>
      </c>
      <c r="AV27">
        <v>165</v>
      </c>
      <c r="AW27">
        <v>0</v>
      </c>
      <c r="AY27">
        <v>-87.410559842099133</v>
      </c>
      <c r="BA27">
        <v>0</v>
      </c>
      <c r="BC27" s="1">
        <f t="shared" si="14"/>
        <v>4.4053649617126212E-13</v>
      </c>
      <c r="BD27" s="1">
        <f t="shared" si="15"/>
        <v>1.2789769243681803E-13</v>
      </c>
      <c r="BE27" s="1">
        <f t="shared" si="16"/>
        <v>1.1368683772161603E-13</v>
      </c>
      <c r="BF27" s="1">
        <f t="shared" si="17"/>
        <v>1.1368683772161603E-13</v>
      </c>
      <c r="BH27">
        <f t="shared" si="24"/>
        <v>1.5947421161399688E-13</v>
      </c>
      <c r="BI27">
        <f t="shared" si="25"/>
        <v>4.6298964662128128E-14</v>
      </c>
      <c r="BJ27">
        <f t="shared" si="26"/>
        <v>4.1154635255225001E-14</v>
      </c>
      <c r="BK27">
        <f t="shared" si="27"/>
        <v>4.1154635255225001E-14</v>
      </c>
      <c r="BM27" s="1">
        <f t="shared" si="22"/>
        <v>7.9580786405131221E-13</v>
      </c>
    </row>
    <row r="28" spans="2:65" x14ac:dyDescent="0.25">
      <c r="B28" t="s">
        <v>22</v>
      </c>
      <c r="C28" s="11">
        <v>410.7845932720017</v>
      </c>
      <c r="D28" s="4">
        <v>2.8729837499999999</v>
      </c>
      <c r="E28" s="5">
        <v>0</v>
      </c>
      <c r="F28" s="5">
        <v>281.33491326797485</v>
      </c>
      <c r="G28" s="5">
        <v>77.06852500037381</v>
      </c>
      <c r="H28" s="6">
        <v>361.27642201834868</v>
      </c>
      <c r="I28" s="11">
        <f t="shared" si="1"/>
        <v>-86.478784648133228</v>
      </c>
      <c r="J28" s="1">
        <f t="shared" si="2"/>
        <v>451.90824342354421</v>
      </c>
      <c r="K28" s="1">
        <f t="shared" si="3"/>
        <v>-90.631821405195524</v>
      </c>
      <c r="L28" s="4">
        <v>384.8940323988142</v>
      </c>
      <c r="M28" s="4">
        <v>0</v>
      </c>
      <c r="N28" s="5">
        <v>0</v>
      </c>
      <c r="O28" s="5">
        <v>0</v>
      </c>
      <c r="P28" s="5">
        <v>9.9988528049999985</v>
      </c>
      <c r="Q28" s="5">
        <v>381.98686157308174</v>
      </c>
      <c r="R28" s="5">
        <v>232.73130460000002</v>
      </c>
      <c r="S28" s="6">
        <v>624.7170189780818</v>
      </c>
      <c r="T28" s="11">
        <f t="shared" si="4"/>
        <v>183.59845487124022</v>
      </c>
      <c r="U28" s="5">
        <f t="shared" si="5"/>
        <v>423.42577821651724</v>
      </c>
      <c r="V28" s="1">
        <f t="shared" si="6"/>
        <v>201.29124076156455</v>
      </c>
      <c r="W28" s="4">
        <v>705.19568199503294</v>
      </c>
      <c r="X28" s="4">
        <v>16.146168675000002</v>
      </c>
      <c r="Y28" s="5">
        <v>22.007736001486006</v>
      </c>
      <c r="Z28" s="5">
        <v>0</v>
      </c>
      <c r="AA28" s="5">
        <v>45.832579344000003</v>
      </c>
      <c r="AB28" s="5">
        <v>261.30541666666664</v>
      </c>
      <c r="AC28" s="5">
        <v>484.84150943396224</v>
      </c>
      <c r="AD28" s="6">
        <v>830.13341012111493</v>
      </c>
      <c r="AE28" s="11">
        <f t="shared" si="7"/>
        <v>50.225721215181693</v>
      </c>
      <c r="AF28" s="5">
        <f t="shared" si="8"/>
        <v>775.79282947748391</v>
      </c>
      <c r="AG28" s="1">
        <f t="shared" si="9"/>
        <v>54.340580643631029</v>
      </c>
      <c r="AH28" s="11">
        <v>287.74142815491257</v>
      </c>
      <c r="AI28" s="4">
        <v>126.20255639953919</v>
      </c>
      <c r="AJ28" s="5">
        <v>0</v>
      </c>
      <c r="AK28" s="5">
        <v>0</v>
      </c>
      <c r="AL28" s="5">
        <v>25.344669293433967</v>
      </c>
      <c r="AM28" s="6">
        <v>151.54722569297314</v>
      </c>
      <c r="AN28" s="11">
        <f t="shared" si="10"/>
        <v>-149.83345277430701</v>
      </c>
      <c r="AO28" s="5">
        <f t="shared" si="11"/>
        <v>316.54722569297309</v>
      </c>
      <c r="AP28" s="1">
        <f t="shared" si="12"/>
        <v>-164.99999999999994</v>
      </c>
      <c r="AQ28" s="19">
        <v>12.422564789555032</v>
      </c>
      <c r="AR28" s="11">
        <v>13.666187887299261</v>
      </c>
      <c r="AS28" s="11">
        <f t="shared" si="13"/>
        <v>1.3666187887295678E-2</v>
      </c>
      <c r="AU28">
        <v>90.631821405195865</v>
      </c>
      <c r="AV28">
        <v>165</v>
      </c>
      <c r="AW28">
        <v>0</v>
      </c>
      <c r="AY28">
        <v>-54.340580643631313</v>
      </c>
      <c r="BA28">
        <v>0</v>
      </c>
      <c r="BC28" s="1">
        <f t="shared" si="14"/>
        <v>3.4106051316484809E-13</v>
      </c>
      <c r="BD28" s="1">
        <f t="shared" si="15"/>
        <v>0</v>
      </c>
      <c r="BE28" s="1">
        <f t="shared" si="16"/>
        <v>-2.8421709430404007E-13</v>
      </c>
      <c r="BF28" s="1">
        <f t="shared" si="17"/>
        <v>5.6843418860808015E-14</v>
      </c>
      <c r="BH28">
        <f t="shared" si="24"/>
        <v>1.2346390576567502E-13</v>
      </c>
      <c r="BI28">
        <f t="shared" si="25"/>
        <v>0</v>
      </c>
      <c r="BJ28">
        <f t="shared" si="26"/>
        <v>-1.0288658813806251E-13</v>
      </c>
      <c r="BK28">
        <f t="shared" si="27"/>
        <v>2.0577317627612501E-14</v>
      </c>
      <c r="BM28" s="1">
        <f t="shared" si="22"/>
        <v>0</v>
      </c>
    </row>
    <row r="29" spans="2:65" x14ac:dyDescent="0.25">
      <c r="B29" t="s">
        <v>23</v>
      </c>
      <c r="C29" s="12">
        <v>392.6234874365561</v>
      </c>
      <c r="D29" s="7">
        <v>2.7999377500000007</v>
      </c>
      <c r="E29" s="8">
        <v>0</v>
      </c>
      <c r="F29" s="8">
        <v>240.70644566713841</v>
      </c>
      <c r="G29" s="8">
        <v>117.77003860121027</v>
      </c>
      <c r="H29" s="9">
        <v>361.27642201834868</v>
      </c>
      <c r="I29" s="11">
        <f t="shared" si="1"/>
        <v>-66.683179287497524</v>
      </c>
      <c r="J29" s="1">
        <f t="shared" si="2"/>
        <v>431.92902908311999</v>
      </c>
      <c r="K29" s="1">
        <f t="shared" si="3"/>
        <v>-70.652607064771303</v>
      </c>
      <c r="L29" s="7">
        <v>372.18644646312896</v>
      </c>
      <c r="M29" s="7">
        <v>0</v>
      </c>
      <c r="N29" s="8">
        <v>0</v>
      </c>
      <c r="O29" s="8">
        <v>0</v>
      </c>
      <c r="P29" s="8">
        <v>8.5645006762499989</v>
      </c>
      <c r="Q29" s="8">
        <v>326.82292671305026</v>
      </c>
      <c r="R29" s="8">
        <v>198.13445525</v>
      </c>
      <c r="S29" s="9">
        <v>533.5218826393002</v>
      </c>
      <c r="T29" s="12">
        <f t="shared" si="4"/>
        <v>113.31846673863424</v>
      </c>
      <c r="U29" s="5">
        <f t="shared" si="5"/>
        <v>409.44603571301315</v>
      </c>
      <c r="V29" s="1">
        <f t="shared" si="6"/>
        <v>124.07584692628706</v>
      </c>
      <c r="W29" s="7">
        <v>678.50536799747761</v>
      </c>
      <c r="X29" s="7">
        <v>15.735650155000007</v>
      </c>
      <c r="Y29" s="8">
        <v>0</v>
      </c>
      <c r="Z29" s="8">
        <v>0</v>
      </c>
      <c r="AA29" s="8">
        <v>39.25781931600001</v>
      </c>
      <c r="AB29" s="8">
        <v>241.64833333333331</v>
      </c>
      <c r="AC29" s="8">
        <v>412.01132075471702</v>
      </c>
      <c r="AD29" s="9">
        <v>708.6531235590503</v>
      </c>
      <c r="AE29" s="12">
        <f t="shared" si="7"/>
        <v>-33.63102555874184</v>
      </c>
      <c r="AF29" s="5">
        <f t="shared" si="8"/>
        <v>746.43054785201059</v>
      </c>
      <c r="AG29" s="1">
        <f t="shared" si="9"/>
        <v>-37.777424292960291</v>
      </c>
      <c r="AH29" s="12">
        <v>280.66396363128155</v>
      </c>
      <c r="AI29" s="7">
        <v>271.4308553763525</v>
      </c>
      <c r="AJ29" s="8">
        <v>0</v>
      </c>
      <c r="AK29" s="8">
        <v>0</v>
      </c>
      <c r="AL29" s="8">
        <v>21.684565173113207</v>
      </c>
      <c r="AM29" s="9">
        <v>293.11542054946568</v>
      </c>
      <c r="AN29" s="12">
        <f t="shared" si="10"/>
        <v>-13.928930931267757</v>
      </c>
      <c r="AO29" s="5">
        <f t="shared" si="11"/>
        <v>308.76123611802149</v>
      </c>
      <c r="AP29" s="1">
        <f t="shared" si="12"/>
        <v>-15.645815568555804</v>
      </c>
      <c r="AQ29" s="20">
        <v>11.741474712865621</v>
      </c>
      <c r="AR29" s="12">
        <v>12.916913875539729</v>
      </c>
      <c r="AS29" s="12">
        <f t="shared" si="13"/>
        <v>1.2916913875532288E-2</v>
      </c>
      <c r="AU29">
        <v>70.652607064771601</v>
      </c>
      <c r="AV29">
        <v>15.645815568555806</v>
      </c>
      <c r="AW29">
        <v>37.777424292959843</v>
      </c>
      <c r="AY29">
        <v>0</v>
      </c>
      <c r="BA29">
        <v>0</v>
      </c>
      <c r="BC29" s="1">
        <f t="shared" si="14"/>
        <v>2.9842794901924208E-13</v>
      </c>
      <c r="BD29" s="1">
        <f t="shared" si="15"/>
        <v>-1.9184653865522705E-13</v>
      </c>
      <c r="BE29" s="1">
        <f t="shared" si="16"/>
        <v>-4.4764192352886312E-13</v>
      </c>
      <c r="BF29" s="1">
        <f t="shared" si="17"/>
        <v>1.7763568394002505E-15</v>
      </c>
      <c r="BH29">
        <f t="shared" si="24"/>
        <v>1.0803091754496564E-13</v>
      </c>
      <c r="BI29">
        <f t="shared" si="25"/>
        <v>-6.9448446993192186E-14</v>
      </c>
      <c r="BJ29">
        <f t="shared" si="26"/>
        <v>-1.6204637631744846E-13</v>
      </c>
      <c r="BK29">
        <f t="shared" si="27"/>
        <v>6.4304117586289065E-16</v>
      </c>
      <c r="BM29" s="1">
        <f t="shared" si="22"/>
        <v>-3.4106051316484809E-13</v>
      </c>
    </row>
  </sheetData>
  <mergeCells count="12">
    <mergeCell ref="D4:H4"/>
    <mergeCell ref="C3:I3"/>
    <mergeCell ref="AU4:AW4"/>
    <mergeCell ref="AU2:BA3"/>
    <mergeCell ref="AI4:AM4"/>
    <mergeCell ref="X4:AD4"/>
    <mergeCell ref="M4:S4"/>
    <mergeCell ref="BC2:BF3"/>
    <mergeCell ref="C1:AS2"/>
    <mergeCell ref="AH3:AN3"/>
    <mergeCell ref="AQ3:AS3"/>
    <mergeCell ref="L3:T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FB88B-6771-4CCF-A921-1040D77A797B}">
  <dimension ref="B1:AA119"/>
  <sheetViews>
    <sheetView topLeftCell="D61" workbookViewId="0">
      <selection activeCell="M66" sqref="M66"/>
    </sheetView>
  </sheetViews>
  <sheetFormatPr baseColWidth="10" defaultRowHeight="15" x14ac:dyDescent="0.25"/>
  <cols>
    <col min="3" max="4" width="17.85546875" customWidth="1"/>
    <col min="5" max="5" width="17.7109375" customWidth="1"/>
    <col min="7" max="7" width="18" customWidth="1"/>
    <col min="9" max="9" width="16.7109375" customWidth="1"/>
  </cols>
  <sheetData>
    <row r="1" spans="2:19" x14ac:dyDescent="0.25">
      <c r="B1" s="28">
        <v>2040</v>
      </c>
    </row>
    <row r="3" spans="2:19" x14ac:dyDescent="0.25">
      <c r="C3" t="s">
        <v>48</v>
      </c>
      <c r="G3" t="s">
        <v>47</v>
      </c>
      <c r="I3" t="s">
        <v>28</v>
      </c>
      <c r="L3" s="24" t="s">
        <v>56</v>
      </c>
      <c r="M3" s="24"/>
      <c r="N3" s="24" t="s">
        <v>59</v>
      </c>
      <c r="O3" s="24"/>
      <c r="P3" s="24" t="s">
        <v>60</v>
      </c>
      <c r="Q3" s="24"/>
      <c r="R3" s="24" t="s">
        <v>61</v>
      </c>
      <c r="S3" s="24"/>
    </row>
    <row r="4" spans="2:19" x14ac:dyDescent="0.25">
      <c r="C4" t="s">
        <v>44</v>
      </c>
      <c r="D4" t="s">
        <v>45</v>
      </c>
      <c r="E4" t="s">
        <v>46</v>
      </c>
      <c r="G4" t="s">
        <v>46</v>
      </c>
      <c r="I4" t="s">
        <v>45</v>
      </c>
      <c r="L4" t="s">
        <v>57</v>
      </c>
      <c r="M4" t="s">
        <v>58</v>
      </c>
      <c r="N4" t="s">
        <v>57</v>
      </c>
      <c r="O4" t="s">
        <v>58</v>
      </c>
      <c r="P4" t="s">
        <v>57</v>
      </c>
      <c r="Q4" t="s">
        <v>58</v>
      </c>
      <c r="R4" t="s">
        <v>57</v>
      </c>
      <c r="S4" t="s">
        <v>58</v>
      </c>
    </row>
    <row r="5" spans="2:19" x14ac:dyDescent="0.25">
      <c r="C5">
        <v>245.78535299348704</v>
      </c>
      <c r="D5">
        <v>0</v>
      </c>
      <c r="E5">
        <v>0</v>
      </c>
      <c r="G5">
        <v>-260</v>
      </c>
      <c r="I5">
        <v>-64.149514591938384</v>
      </c>
      <c r="L5">
        <f>$C5+$D5+$E5</f>
        <v>245.78535299348704</v>
      </c>
      <c r="M5">
        <f>G5+I5</f>
        <v>-324.14951459193838</v>
      </c>
      <c r="N5">
        <v>0</v>
      </c>
      <c r="O5">
        <f>-C5</f>
        <v>-245.78535299348704</v>
      </c>
      <c r="P5">
        <f>-G5</f>
        <v>260</v>
      </c>
      <c r="Q5">
        <f>-E5</f>
        <v>0</v>
      </c>
      <c r="R5">
        <f>-I5</f>
        <v>64.149514591938384</v>
      </c>
      <c r="S5">
        <f>-D5</f>
        <v>0</v>
      </c>
    </row>
    <row r="6" spans="2:19" x14ac:dyDescent="0.25">
      <c r="C6">
        <v>277.7904036880019</v>
      </c>
      <c r="D6">
        <v>0</v>
      </c>
      <c r="E6">
        <v>0</v>
      </c>
      <c r="G6">
        <v>-260</v>
      </c>
      <c r="I6">
        <v>-65.01052759163106</v>
      </c>
      <c r="L6">
        <f t="shared" ref="L6:L28" si="0">C6+D6+E6</f>
        <v>277.7904036880019</v>
      </c>
      <c r="M6">
        <f t="shared" ref="M6:M28" si="1">G6+I6</f>
        <v>-325.01052759163105</v>
      </c>
      <c r="N6">
        <v>0</v>
      </c>
      <c r="O6">
        <f t="shared" ref="O6:O28" si="2">-C6</f>
        <v>-277.7904036880019</v>
      </c>
      <c r="P6">
        <f t="shared" ref="P6:P28" si="3">-G6</f>
        <v>260</v>
      </c>
      <c r="Q6">
        <f t="shared" ref="Q6:Q28" si="4">-E6</f>
        <v>0</v>
      </c>
      <c r="R6">
        <f t="shared" ref="R6:R28" si="5">-I6</f>
        <v>65.01052759163106</v>
      </c>
      <c r="S6">
        <f t="shared" ref="S6:S28" si="6">-D6</f>
        <v>0</v>
      </c>
    </row>
    <row r="7" spans="2:19" x14ac:dyDescent="0.25">
      <c r="C7">
        <v>276.43269992849781</v>
      </c>
      <c r="D7">
        <v>0</v>
      </c>
      <c r="E7">
        <v>0</v>
      </c>
      <c r="G7">
        <v>-260</v>
      </c>
      <c r="I7">
        <v>-65.185483047236175</v>
      </c>
      <c r="L7">
        <f t="shared" si="0"/>
        <v>276.43269992849781</v>
      </c>
      <c r="M7">
        <f t="shared" si="1"/>
        <v>-325.18548304723618</v>
      </c>
      <c r="N7">
        <v>0</v>
      </c>
      <c r="O7">
        <f t="shared" si="2"/>
        <v>-276.43269992849781</v>
      </c>
      <c r="P7">
        <f t="shared" si="3"/>
        <v>260</v>
      </c>
      <c r="Q7">
        <f t="shared" si="4"/>
        <v>0</v>
      </c>
      <c r="R7">
        <f t="shared" si="5"/>
        <v>65.185483047236175</v>
      </c>
      <c r="S7">
        <f t="shared" si="6"/>
        <v>0</v>
      </c>
    </row>
    <row r="8" spans="2:19" x14ac:dyDescent="0.25">
      <c r="C8">
        <v>169.67834005499475</v>
      </c>
      <c r="D8">
        <v>0</v>
      </c>
      <c r="E8">
        <v>0</v>
      </c>
      <c r="G8">
        <v>-84.468628336086368</v>
      </c>
      <c r="I8">
        <v>-135.37773498893446</v>
      </c>
      <c r="L8">
        <f t="shared" si="0"/>
        <v>169.67834005499475</v>
      </c>
      <c r="M8">
        <f t="shared" si="1"/>
        <v>-219.84636332502083</v>
      </c>
      <c r="N8">
        <v>0</v>
      </c>
      <c r="O8">
        <f t="shared" si="2"/>
        <v>-169.67834005499475</v>
      </c>
      <c r="P8">
        <f t="shared" si="3"/>
        <v>84.468628336086368</v>
      </c>
      <c r="Q8">
        <f t="shared" si="4"/>
        <v>0</v>
      </c>
      <c r="R8">
        <f t="shared" si="5"/>
        <v>135.37773498893446</v>
      </c>
      <c r="S8">
        <f t="shared" si="6"/>
        <v>0</v>
      </c>
    </row>
    <row r="9" spans="2:19" x14ac:dyDescent="0.25">
      <c r="C9">
        <v>172.1132747075109</v>
      </c>
      <c r="D9">
        <v>0</v>
      </c>
      <c r="E9">
        <v>0</v>
      </c>
      <c r="G9">
        <v>-82.36682599035916</v>
      </c>
      <c r="I9">
        <v>-81.375700024300841</v>
      </c>
      <c r="L9">
        <f t="shared" si="0"/>
        <v>172.1132747075109</v>
      </c>
      <c r="M9">
        <f t="shared" si="1"/>
        <v>-163.74252601466</v>
      </c>
      <c r="N9">
        <v>0</v>
      </c>
      <c r="O9">
        <f t="shared" si="2"/>
        <v>-172.1132747075109</v>
      </c>
      <c r="P9">
        <f t="shared" si="3"/>
        <v>82.36682599035916</v>
      </c>
      <c r="Q9">
        <f t="shared" si="4"/>
        <v>0</v>
      </c>
      <c r="R9">
        <f t="shared" si="5"/>
        <v>81.375700024300841</v>
      </c>
      <c r="S9">
        <f t="shared" si="6"/>
        <v>0</v>
      </c>
    </row>
    <row r="10" spans="2:19" x14ac:dyDescent="0.25">
      <c r="C10">
        <v>68.504146840041727</v>
      </c>
      <c r="D10">
        <v>0</v>
      </c>
      <c r="E10">
        <v>260</v>
      </c>
      <c r="G10">
        <v>0</v>
      </c>
      <c r="I10">
        <v>-165</v>
      </c>
      <c r="L10">
        <f t="shared" si="0"/>
        <v>328.5041468400417</v>
      </c>
      <c r="M10">
        <f t="shared" si="1"/>
        <v>-165</v>
      </c>
      <c r="N10">
        <v>0</v>
      </c>
      <c r="O10">
        <f t="shared" si="2"/>
        <v>-68.504146840041727</v>
      </c>
      <c r="P10">
        <f t="shared" si="3"/>
        <v>0</v>
      </c>
      <c r="Q10">
        <f t="shared" si="4"/>
        <v>-260</v>
      </c>
      <c r="R10">
        <f t="shared" si="5"/>
        <v>165</v>
      </c>
      <c r="S10">
        <f t="shared" si="6"/>
        <v>0</v>
      </c>
    </row>
    <row r="11" spans="2:19" x14ac:dyDescent="0.25">
      <c r="C11">
        <v>59.395354260555656</v>
      </c>
      <c r="D11">
        <v>0</v>
      </c>
      <c r="E11">
        <v>260</v>
      </c>
      <c r="G11">
        <v>0</v>
      </c>
      <c r="I11">
        <v>-165</v>
      </c>
      <c r="L11">
        <f t="shared" si="0"/>
        <v>319.39535426055568</v>
      </c>
      <c r="M11">
        <f t="shared" si="1"/>
        <v>-165</v>
      </c>
      <c r="N11">
        <v>0</v>
      </c>
      <c r="O11">
        <f t="shared" si="2"/>
        <v>-59.395354260555656</v>
      </c>
      <c r="P11">
        <f t="shared" si="3"/>
        <v>0</v>
      </c>
      <c r="Q11">
        <f t="shared" si="4"/>
        <v>-260</v>
      </c>
      <c r="R11">
        <f t="shared" si="5"/>
        <v>165</v>
      </c>
      <c r="S11">
        <f t="shared" si="6"/>
        <v>0</v>
      </c>
    </row>
    <row r="12" spans="2:19" x14ac:dyDescent="0.25">
      <c r="C12">
        <v>146.70477363085456</v>
      </c>
      <c r="D12">
        <v>0</v>
      </c>
      <c r="E12">
        <v>40.101461004624014</v>
      </c>
      <c r="G12">
        <v>0</v>
      </c>
      <c r="I12">
        <v>-127.52273568002829</v>
      </c>
      <c r="L12">
        <f t="shared" si="0"/>
        <v>186.80623463547857</v>
      </c>
      <c r="M12">
        <f t="shared" si="1"/>
        <v>-127.52273568002829</v>
      </c>
      <c r="N12">
        <v>0</v>
      </c>
      <c r="O12">
        <f t="shared" si="2"/>
        <v>-146.70477363085456</v>
      </c>
      <c r="P12">
        <f t="shared" si="3"/>
        <v>0</v>
      </c>
      <c r="Q12">
        <f t="shared" si="4"/>
        <v>-40.101461004624014</v>
      </c>
      <c r="R12">
        <f t="shared" si="5"/>
        <v>127.52273568002829</v>
      </c>
      <c r="S12">
        <f t="shared" si="6"/>
        <v>0</v>
      </c>
    </row>
    <row r="13" spans="2:19" x14ac:dyDescent="0.25">
      <c r="C13">
        <v>88.49974098666722</v>
      </c>
      <c r="D13">
        <v>157.89721665064388</v>
      </c>
      <c r="E13">
        <v>0</v>
      </c>
      <c r="G13">
        <v>-260</v>
      </c>
      <c r="I13">
        <v>0</v>
      </c>
      <c r="L13">
        <f t="shared" si="0"/>
        <v>246.39695763731112</v>
      </c>
      <c r="M13">
        <f t="shared" si="1"/>
        <v>-260</v>
      </c>
      <c r="N13">
        <v>0</v>
      </c>
      <c r="O13">
        <f t="shared" si="2"/>
        <v>-88.49974098666722</v>
      </c>
      <c r="P13">
        <f t="shared" si="3"/>
        <v>260</v>
      </c>
      <c r="Q13">
        <f t="shared" si="4"/>
        <v>0</v>
      </c>
      <c r="R13">
        <f t="shared" si="5"/>
        <v>0</v>
      </c>
      <c r="S13">
        <f t="shared" si="6"/>
        <v>-157.89721665064388</v>
      </c>
    </row>
    <row r="14" spans="2:19" x14ac:dyDescent="0.25">
      <c r="C14">
        <v>92.039667510072078</v>
      </c>
      <c r="D14">
        <v>165</v>
      </c>
      <c r="E14">
        <v>0</v>
      </c>
      <c r="G14">
        <v>-205.46460324602549</v>
      </c>
      <c r="I14">
        <v>0</v>
      </c>
      <c r="L14">
        <f t="shared" si="0"/>
        <v>257.03966751007209</v>
      </c>
      <c r="M14">
        <f t="shared" si="1"/>
        <v>-205.46460324602549</v>
      </c>
      <c r="N14">
        <v>0</v>
      </c>
      <c r="O14">
        <f t="shared" si="2"/>
        <v>-92.039667510072078</v>
      </c>
      <c r="P14">
        <f t="shared" si="3"/>
        <v>205.46460324602549</v>
      </c>
      <c r="Q14">
        <f t="shared" si="4"/>
        <v>0</v>
      </c>
      <c r="R14">
        <f t="shared" si="5"/>
        <v>0</v>
      </c>
      <c r="S14">
        <f t="shared" si="6"/>
        <v>-165</v>
      </c>
    </row>
    <row r="15" spans="2:19" x14ac:dyDescent="0.25">
      <c r="C15">
        <v>91.473053192914961</v>
      </c>
      <c r="D15">
        <v>165</v>
      </c>
      <c r="E15">
        <v>0</v>
      </c>
      <c r="G15">
        <v>-132.46569425167698</v>
      </c>
      <c r="I15">
        <v>0</v>
      </c>
      <c r="L15">
        <f t="shared" si="0"/>
        <v>256.47305319291496</v>
      </c>
      <c r="M15">
        <f t="shared" si="1"/>
        <v>-132.46569425167698</v>
      </c>
      <c r="N15">
        <v>0</v>
      </c>
      <c r="O15">
        <f t="shared" si="2"/>
        <v>-91.473053192914961</v>
      </c>
      <c r="P15">
        <f t="shared" si="3"/>
        <v>132.46569425167698</v>
      </c>
      <c r="Q15">
        <f t="shared" si="4"/>
        <v>0</v>
      </c>
      <c r="R15">
        <f t="shared" si="5"/>
        <v>0</v>
      </c>
      <c r="S15">
        <f t="shared" si="6"/>
        <v>-165</v>
      </c>
    </row>
    <row r="16" spans="2:19" x14ac:dyDescent="0.25">
      <c r="C16">
        <v>167.36248079094088</v>
      </c>
      <c r="D16">
        <v>0</v>
      </c>
      <c r="E16">
        <v>0</v>
      </c>
      <c r="G16">
        <v>-149.67877066897503</v>
      </c>
      <c r="I16">
        <v>-61.740253531787914</v>
      </c>
      <c r="L16">
        <f t="shared" si="0"/>
        <v>167.36248079094088</v>
      </c>
      <c r="M16">
        <f t="shared" si="1"/>
        <v>-211.41902420076295</v>
      </c>
      <c r="N16">
        <v>0</v>
      </c>
      <c r="O16">
        <f t="shared" si="2"/>
        <v>-167.36248079094088</v>
      </c>
      <c r="P16">
        <f t="shared" si="3"/>
        <v>149.67877066897503</v>
      </c>
      <c r="Q16">
        <f t="shared" si="4"/>
        <v>0</v>
      </c>
      <c r="R16">
        <f t="shared" si="5"/>
        <v>61.740253531787914</v>
      </c>
      <c r="S16">
        <f t="shared" si="6"/>
        <v>0</v>
      </c>
    </row>
    <row r="17" spans="2:19" x14ac:dyDescent="0.25">
      <c r="C17">
        <v>101.4329010217416</v>
      </c>
      <c r="D17">
        <v>0</v>
      </c>
      <c r="E17">
        <v>0</v>
      </c>
      <c r="G17">
        <v>-11.009789148184952</v>
      </c>
      <c r="I17">
        <v>-54.038243212191063</v>
      </c>
      <c r="L17">
        <f t="shared" si="0"/>
        <v>101.4329010217416</v>
      </c>
      <c r="M17">
        <f t="shared" si="1"/>
        <v>-65.048032360376013</v>
      </c>
      <c r="N17">
        <v>0</v>
      </c>
      <c r="O17">
        <f t="shared" si="2"/>
        <v>-101.4329010217416</v>
      </c>
      <c r="P17">
        <f t="shared" si="3"/>
        <v>11.009789148184952</v>
      </c>
      <c r="Q17">
        <f t="shared" si="4"/>
        <v>0</v>
      </c>
      <c r="R17">
        <f t="shared" si="5"/>
        <v>54.038243212191063</v>
      </c>
      <c r="S17">
        <f t="shared" si="6"/>
        <v>0</v>
      </c>
    </row>
    <row r="18" spans="2:19" x14ac:dyDescent="0.25">
      <c r="C18">
        <v>108.87126707540801</v>
      </c>
      <c r="D18">
        <v>0</v>
      </c>
      <c r="E18">
        <v>0</v>
      </c>
      <c r="G18">
        <v>-22.850658057743665</v>
      </c>
      <c r="I18">
        <v>-65.742184019784887</v>
      </c>
      <c r="L18">
        <f t="shared" si="0"/>
        <v>108.87126707540801</v>
      </c>
      <c r="M18">
        <f t="shared" si="1"/>
        <v>-88.592842077528559</v>
      </c>
      <c r="N18">
        <v>0</v>
      </c>
      <c r="O18">
        <f t="shared" si="2"/>
        <v>-108.87126707540801</v>
      </c>
      <c r="P18">
        <f t="shared" si="3"/>
        <v>22.850658057743665</v>
      </c>
      <c r="Q18">
        <f t="shared" si="4"/>
        <v>0</v>
      </c>
      <c r="R18">
        <f t="shared" si="5"/>
        <v>65.742184019784887</v>
      </c>
      <c r="S18">
        <f t="shared" si="6"/>
        <v>0</v>
      </c>
    </row>
    <row r="19" spans="2:19" x14ac:dyDescent="0.25">
      <c r="C19">
        <v>106.28289210291575</v>
      </c>
      <c r="D19">
        <v>0</v>
      </c>
      <c r="E19">
        <v>0</v>
      </c>
      <c r="G19">
        <v>-17.126010921638002</v>
      </c>
      <c r="I19">
        <v>-66.601719185139856</v>
      </c>
      <c r="L19">
        <f t="shared" si="0"/>
        <v>106.28289210291575</v>
      </c>
      <c r="M19">
        <f t="shared" si="1"/>
        <v>-83.727730106777855</v>
      </c>
      <c r="N19">
        <v>0</v>
      </c>
      <c r="O19">
        <f t="shared" si="2"/>
        <v>-106.28289210291575</v>
      </c>
      <c r="P19">
        <f t="shared" si="3"/>
        <v>17.126010921638002</v>
      </c>
      <c r="Q19">
        <f t="shared" si="4"/>
        <v>0</v>
      </c>
      <c r="R19">
        <f t="shared" si="5"/>
        <v>66.601719185139856</v>
      </c>
      <c r="S19">
        <f t="shared" si="6"/>
        <v>0</v>
      </c>
    </row>
    <row r="20" spans="2:19" x14ac:dyDescent="0.25">
      <c r="C20">
        <v>26.112717546056501</v>
      </c>
      <c r="D20">
        <v>124.66051414742306</v>
      </c>
      <c r="E20">
        <v>12.76216810852509</v>
      </c>
      <c r="G20">
        <v>0</v>
      </c>
      <c r="I20">
        <v>0</v>
      </c>
      <c r="L20">
        <f t="shared" si="0"/>
        <v>163.53539980200463</v>
      </c>
      <c r="M20">
        <f t="shared" si="1"/>
        <v>0</v>
      </c>
      <c r="N20">
        <v>0</v>
      </c>
      <c r="O20">
        <f t="shared" si="2"/>
        <v>-26.112717546056501</v>
      </c>
      <c r="P20">
        <f t="shared" si="3"/>
        <v>0</v>
      </c>
      <c r="Q20">
        <f t="shared" si="4"/>
        <v>-12.76216810852509</v>
      </c>
      <c r="R20">
        <f t="shared" si="5"/>
        <v>0</v>
      </c>
      <c r="S20">
        <f t="shared" si="6"/>
        <v>-124.66051414742306</v>
      </c>
    </row>
    <row r="21" spans="2:19" x14ac:dyDescent="0.25">
      <c r="C21">
        <v>174.86683691046477</v>
      </c>
      <c r="D21">
        <v>0</v>
      </c>
      <c r="E21">
        <v>0</v>
      </c>
      <c r="G21">
        <v>-38.592121539149502</v>
      </c>
      <c r="I21">
        <v>-80.609247587555004</v>
      </c>
      <c r="L21">
        <f t="shared" si="0"/>
        <v>174.86683691046477</v>
      </c>
      <c r="M21">
        <f t="shared" si="1"/>
        <v>-119.20136912670451</v>
      </c>
      <c r="N21">
        <v>0</v>
      </c>
      <c r="O21">
        <f t="shared" si="2"/>
        <v>-174.86683691046477</v>
      </c>
      <c r="P21">
        <f t="shared" si="3"/>
        <v>38.592121539149502</v>
      </c>
      <c r="Q21">
        <f t="shared" si="4"/>
        <v>0</v>
      </c>
      <c r="R21">
        <f t="shared" si="5"/>
        <v>80.609247587555004</v>
      </c>
      <c r="S21">
        <f t="shared" si="6"/>
        <v>0</v>
      </c>
    </row>
    <row r="22" spans="2:19" x14ac:dyDescent="0.25">
      <c r="C22">
        <v>82.30290151323355</v>
      </c>
      <c r="D22">
        <v>0</v>
      </c>
      <c r="E22">
        <v>248.96220090997616</v>
      </c>
      <c r="G22">
        <v>0</v>
      </c>
      <c r="I22">
        <v>-165</v>
      </c>
      <c r="L22">
        <f t="shared" si="0"/>
        <v>331.26510242320973</v>
      </c>
      <c r="M22">
        <f t="shared" si="1"/>
        <v>-165</v>
      </c>
      <c r="N22">
        <v>0</v>
      </c>
      <c r="O22">
        <f t="shared" si="2"/>
        <v>-82.30290151323355</v>
      </c>
      <c r="P22">
        <f t="shared" si="3"/>
        <v>0</v>
      </c>
      <c r="Q22">
        <f t="shared" si="4"/>
        <v>-248.96220090997616</v>
      </c>
      <c r="R22">
        <f t="shared" si="5"/>
        <v>165</v>
      </c>
      <c r="S22">
        <f t="shared" si="6"/>
        <v>0</v>
      </c>
    </row>
    <row r="23" spans="2:19" x14ac:dyDescent="0.25">
      <c r="C23">
        <v>88.039155721438036</v>
      </c>
      <c r="D23">
        <v>0</v>
      </c>
      <c r="E23">
        <v>221.6476338201162</v>
      </c>
      <c r="G23">
        <v>0</v>
      </c>
      <c r="I23">
        <v>-165</v>
      </c>
      <c r="L23">
        <f t="shared" si="0"/>
        <v>309.68678954155422</v>
      </c>
      <c r="M23">
        <f t="shared" si="1"/>
        <v>-165</v>
      </c>
      <c r="N23">
        <v>0</v>
      </c>
      <c r="O23">
        <f t="shared" si="2"/>
        <v>-88.039155721438036</v>
      </c>
      <c r="P23">
        <f t="shared" si="3"/>
        <v>0</v>
      </c>
      <c r="Q23">
        <f t="shared" si="4"/>
        <v>-221.6476338201162</v>
      </c>
      <c r="R23">
        <f t="shared" si="5"/>
        <v>165</v>
      </c>
      <c r="S23">
        <f t="shared" si="6"/>
        <v>0</v>
      </c>
    </row>
    <row r="24" spans="2:19" x14ac:dyDescent="0.25">
      <c r="C24">
        <v>164.41967991025911</v>
      </c>
      <c r="D24">
        <v>0</v>
      </c>
      <c r="E24">
        <v>0</v>
      </c>
      <c r="G24">
        <v>-23.87944737125957</v>
      </c>
      <c r="I24">
        <v>-104.75440952059975</v>
      </c>
      <c r="L24">
        <f t="shared" si="0"/>
        <v>164.41967991025911</v>
      </c>
      <c r="M24">
        <f t="shared" si="1"/>
        <v>-128.63385689185932</v>
      </c>
      <c r="N24">
        <v>0</v>
      </c>
      <c r="O24">
        <f t="shared" si="2"/>
        <v>-164.41967991025911</v>
      </c>
      <c r="P24">
        <f t="shared" si="3"/>
        <v>23.87944737125957</v>
      </c>
      <c r="Q24">
        <f t="shared" si="4"/>
        <v>0</v>
      </c>
      <c r="R24">
        <f t="shared" si="5"/>
        <v>104.75440952059975</v>
      </c>
      <c r="S24">
        <f t="shared" si="6"/>
        <v>0</v>
      </c>
    </row>
    <row r="25" spans="2:19" x14ac:dyDescent="0.25">
      <c r="C25">
        <v>74.250685277594926</v>
      </c>
      <c r="D25">
        <v>146.51719684518955</v>
      </c>
      <c r="E25">
        <v>0</v>
      </c>
      <c r="G25">
        <v>-193.90791087470643</v>
      </c>
      <c r="I25">
        <v>0</v>
      </c>
      <c r="L25">
        <f t="shared" si="0"/>
        <v>220.76788212278447</v>
      </c>
      <c r="M25">
        <f t="shared" si="1"/>
        <v>-193.90791087470643</v>
      </c>
      <c r="N25">
        <v>0</v>
      </c>
      <c r="O25">
        <f t="shared" si="2"/>
        <v>-74.250685277594926</v>
      </c>
      <c r="P25">
        <f t="shared" si="3"/>
        <v>193.90791087470643</v>
      </c>
      <c r="Q25">
        <f t="shared" si="4"/>
        <v>0</v>
      </c>
      <c r="R25">
        <f t="shared" si="5"/>
        <v>0</v>
      </c>
      <c r="S25">
        <f t="shared" si="6"/>
        <v>-146.51719684518955</v>
      </c>
    </row>
    <row r="26" spans="2:19" x14ac:dyDescent="0.25">
      <c r="C26">
        <v>82.500256906666138</v>
      </c>
      <c r="D26">
        <v>165</v>
      </c>
      <c r="E26">
        <v>0</v>
      </c>
      <c r="G26">
        <v>-87.410559842099133</v>
      </c>
      <c r="I26">
        <v>0</v>
      </c>
      <c r="L26">
        <f t="shared" si="0"/>
        <v>247.50025690666615</v>
      </c>
      <c r="M26">
        <f t="shared" si="1"/>
        <v>-87.410559842099133</v>
      </c>
      <c r="N26">
        <v>0</v>
      </c>
      <c r="O26">
        <f t="shared" si="2"/>
        <v>-82.500256906666138</v>
      </c>
      <c r="P26">
        <f t="shared" si="3"/>
        <v>87.410559842099133</v>
      </c>
      <c r="Q26">
        <f t="shared" si="4"/>
        <v>0</v>
      </c>
      <c r="R26">
        <f t="shared" si="5"/>
        <v>0</v>
      </c>
      <c r="S26">
        <f t="shared" si="6"/>
        <v>-165</v>
      </c>
    </row>
    <row r="27" spans="2:19" x14ac:dyDescent="0.25">
      <c r="C27">
        <v>90.631821405195865</v>
      </c>
      <c r="D27">
        <v>165</v>
      </c>
      <c r="E27">
        <v>0</v>
      </c>
      <c r="G27">
        <v>-54.340580643631313</v>
      </c>
      <c r="I27">
        <v>0</v>
      </c>
      <c r="L27">
        <f t="shared" si="0"/>
        <v>255.63182140519586</v>
      </c>
      <c r="M27">
        <f t="shared" si="1"/>
        <v>-54.340580643631313</v>
      </c>
      <c r="N27">
        <v>0</v>
      </c>
      <c r="O27">
        <f t="shared" si="2"/>
        <v>-90.631821405195865</v>
      </c>
      <c r="P27">
        <f t="shared" si="3"/>
        <v>54.340580643631313</v>
      </c>
      <c r="Q27">
        <f t="shared" si="4"/>
        <v>0</v>
      </c>
      <c r="R27">
        <f t="shared" si="5"/>
        <v>0</v>
      </c>
      <c r="S27">
        <f t="shared" si="6"/>
        <v>-165</v>
      </c>
    </row>
    <row r="28" spans="2:19" x14ac:dyDescent="0.25">
      <c r="C28">
        <v>70.652607064771601</v>
      </c>
      <c r="D28">
        <v>15.645815568555806</v>
      </c>
      <c r="E28">
        <v>37.777424292959843</v>
      </c>
      <c r="G28">
        <v>0</v>
      </c>
      <c r="I28">
        <v>0</v>
      </c>
      <c r="L28">
        <f t="shared" si="0"/>
        <v>124.07584692628726</v>
      </c>
      <c r="M28">
        <f t="shared" si="1"/>
        <v>0</v>
      </c>
      <c r="N28">
        <v>0</v>
      </c>
      <c r="O28">
        <f t="shared" si="2"/>
        <v>-70.652607064771601</v>
      </c>
      <c r="P28">
        <f t="shared" si="3"/>
        <v>0</v>
      </c>
      <c r="Q28">
        <f t="shared" si="4"/>
        <v>-37.777424292959843</v>
      </c>
      <c r="R28">
        <f t="shared" si="5"/>
        <v>0</v>
      </c>
      <c r="S28">
        <f t="shared" si="6"/>
        <v>-15.645815568555806</v>
      </c>
    </row>
    <row r="31" spans="2:19" x14ac:dyDescent="0.25">
      <c r="B31" s="28">
        <v>2030</v>
      </c>
    </row>
    <row r="33" spans="3:19" x14ac:dyDescent="0.25">
      <c r="C33" t="s">
        <v>48</v>
      </c>
      <c r="G33" t="s">
        <v>47</v>
      </c>
      <c r="I33" t="s">
        <v>28</v>
      </c>
      <c r="K33" t="s">
        <v>25</v>
      </c>
      <c r="L33" s="24" t="s">
        <v>56</v>
      </c>
      <c r="M33" s="24"/>
      <c r="N33" s="24" t="s">
        <v>59</v>
      </c>
      <c r="O33" s="24"/>
      <c r="P33" s="24" t="s">
        <v>60</v>
      </c>
      <c r="Q33" s="24"/>
      <c r="R33" s="24" t="s">
        <v>61</v>
      </c>
      <c r="S33" s="24"/>
    </row>
    <row r="34" spans="3:19" x14ac:dyDescent="0.25">
      <c r="C34" t="s">
        <v>44</v>
      </c>
      <c r="D34" t="s">
        <v>45</v>
      </c>
      <c r="E34" t="s">
        <v>46</v>
      </c>
      <c r="G34" t="s">
        <v>46</v>
      </c>
      <c r="I34" t="s">
        <v>45</v>
      </c>
      <c r="K34" t="s">
        <v>44</v>
      </c>
      <c r="L34" t="s">
        <v>57</v>
      </c>
      <c r="M34" t="s">
        <v>58</v>
      </c>
      <c r="N34" t="s">
        <v>57</v>
      </c>
      <c r="O34" t="s">
        <v>58</v>
      </c>
      <c r="P34" t="s">
        <v>57</v>
      </c>
      <c r="Q34" t="s">
        <v>58</v>
      </c>
      <c r="R34" t="s">
        <v>57</v>
      </c>
      <c r="S34" t="s">
        <v>58</v>
      </c>
    </row>
    <row r="35" spans="3:19" x14ac:dyDescent="0.25">
      <c r="C35">
        <v>132.22430348421108</v>
      </c>
      <c r="D35">
        <v>0</v>
      </c>
      <c r="E35">
        <v>0</v>
      </c>
      <c r="G35">
        <v>-146.37519907280588</v>
      </c>
      <c r="I35">
        <v>-45.594692705410502</v>
      </c>
      <c r="K35">
        <v>0</v>
      </c>
      <c r="L35">
        <f>$C35+$D35+$E35</f>
        <v>132.22430348421108</v>
      </c>
      <c r="M35">
        <f>G35+I35+K35</f>
        <v>-191.96989177821638</v>
      </c>
      <c r="N35">
        <f>-K35</f>
        <v>0</v>
      </c>
      <c r="O35">
        <f>-C35</f>
        <v>-132.22430348421108</v>
      </c>
      <c r="P35">
        <f>-G35</f>
        <v>146.37519907280588</v>
      </c>
      <c r="Q35">
        <f>-E35</f>
        <v>0</v>
      </c>
      <c r="R35">
        <f>-I35</f>
        <v>45.594692705410502</v>
      </c>
      <c r="S35">
        <f>-D35</f>
        <v>0</v>
      </c>
    </row>
    <row r="36" spans="3:19" x14ac:dyDescent="0.25">
      <c r="C36">
        <v>165.21593529960313</v>
      </c>
      <c r="D36">
        <v>0</v>
      </c>
      <c r="E36">
        <v>0</v>
      </c>
      <c r="G36">
        <v>-260</v>
      </c>
      <c r="I36">
        <v>-16.235399936545775</v>
      </c>
      <c r="K36">
        <v>0</v>
      </c>
      <c r="L36">
        <f t="shared" ref="L36:L58" si="7">C36+D36+E36</f>
        <v>165.21593529960313</v>
      </c>
      <c r="M36">
        <f t="shared" ref="M36:M58" si="8">G36+I36+K36</f>
        <v>-276.23539993654578</v>
      </c>
      <c r="N36">
        <f t="shared" ref="N36:N58" si="9">-K36</f>
        <v>0</v>
      </c>
      <c r="O36">
        <f t="shared" ref="O36:O58" si="10">-C36</f>
        <v>-165.21593529960313</v>
      </c>
      <c r="P36">
        <f t="shared" ref="P36:P58" si="11">-G36</f>
        <v>260</v>
      </c>
      <c r="Q36">
        <f t="shared" ref="Q36:Q58" si="12">-E36</f>
        <v>0</v>
      </c>
      <c r="R36">
        <f t="shared" ref="R36:R58" si="13">-I36</f>
        <v>16.235399936545775</v>
      </c>
      <c r="S36">
        <f t="shared" ref="S36:S58" si="14">-D36</f>
        <v>0</v>
      </c>
    </row>
    <row r="37" spans="3:19" x14ac:dyDescent="0.25">
      <c r="C37">
        <v>163.88693820434932</v>
      </c>
      <c r="D37">
        <v>0</v>
      </c>
      <c r="E37">
        <v>0</v>
      </c>
      <c r="G37">
        <v>-260</v>
      </c>
      <c r="I37">
        <v>-13.198208540973095</v>
      </c>
      <c r="K37">
        <v>0</v>
      </c>
      <c r="L37">
        <f t="shared" si="7"/>
        <v>163.88693820434932</v>
      </c>
      <c r="M37">
        <f t="shared" si="8"/>
        <v>-273.1982085409731</v>
      </c>
      <c r="N37">
        <f t="shared" si="9"/>
        <v>0</v>
      </c>
      <c r="O37">
        <f t="shared" si="10"/>
        <v>-163.88693820434932</v>
      </c>
      <c r="P37">
        <f t="shared" si="11"/>
        <v>260</v>
      </c>
      <c r="Q37">
        <f t="shared" si="12"/>
        <v>0</v>
      </c>
      <c r="R37">
        <f t="shared" si="13"/>
        <v>13.198208540973095</v>
      </c>
      <c r="S37">
        <f t="shared" si="14"/>
        <v>0</v>
      </c>
    </row>
    <row r="38" spans="3:19" x14ac:dyDescent="0.25">
      <c r="C38">
        <v>86.624605101073428</v>
      </c>
      <c r="D38">
        <v>40.858134760469227</v>
      </c>
      <c r="E38">
        <v>0</v>
      </c>
      <c r="G38">
        <v>-127.59947695794176</v>
      </c>
      <c r="I38">
        <v>0</v>
      </c>
      <c r="K38">
        <v>0</v>
      </c>
      <c r="L38">
        <f t="shared" si="7"/>
        <v>127.48273986154265</v>
      </c>
      <c r="M38">
        <f t="shared" si="8"/>
        <v>-127.59947695794176</v>
      </c>
      <c r="N38">
        <f t="shared" si="9"/>
        <v>0</v>
      </c>
      <c r="O38">
        <f t="shared" si="10"/>
        <v>-86.624605101073428</v>
      </c>
      <c r="P38">
        <f t="shared" si="11"/>
        <v>127.59947695794176</v>
      </c>
      <c r="Q38">
        <f t="shared" si="12"/>
        <v>0</v>
      </c>
      <c r="R38">
        <f t="shared" si="13"/>
        <v>0</v>
      </c>
      <c r="S38">
        <f t="shared" si="14"/>
        <v>-40.858134760469227</v>
      </c>
    </row>
    <row r="39" spans="3:19" x14ac:dyDescent="0.25">
      <c r="C39">
        <v>104.56848269378429</v>
      </c>
      <c r="D39">
        <v>0</v>
      </c>
      <c r="E39">
        <v>0</v>
      </c>
      <c r="G39">
        <v>-155.0554898845138</v>
      </c>
      <c r="I39">
        <v>-64.214796119252242</v>
      </c>
      <c r="K39">
        <v>0</v>
      </c>
      <c r="L39">
        <f t="shared" si="7"/>
        <v>104.56848269378429</v>
      </c>
      <c r="M39">
        <f t="shared" si="8"/>
        <v>-219.27028600376605</v>
      </c>
      <c r="N39">
        <f t="shared" si="9"/>
        <v>0</v>
      </c>
      <c r="O39">
        <f t="shared" si="10"/>
        <v>-104.56848269378429</v>
      </c>
      <c r="P39">
        <f t="shared" si="11"/>
        <v>155.0554898845138</v>
      </c>
      <c r="Q39">
        <f t="shared" si="12"/>
        <v>0</v>
      </c>
      <c r="R39">
        <f t="shared" si="13"/>
        <v>64.214796119252242</v>
      </c>
      <c r="S39">
        <f t="shared" si="14"/>
        <v>0</v>
      </c>
    </row>
    <row r="40" spans="3:19" x14ac:dyDescent="0.25">
      <c r="C40">
        <v>100.41035270007259</v>
      </c>
      <c r="D40">
        <v>0</v>
      </c>
      <c r="E40">
        <v>23.715964670041931</v>
      </c>
      <c r="G40">
        <v>0</v>
      </c>
      <c r="I40">
        <v>-165</v>
      </c>
      <c r="K40">
        <v>0</v>
      </c>
      <c r="L40">
        <f t="shared" si="7"/>
        <v>124.12631737011452</v>
      </c>
      <c r="M40">
        <f t="shared" si="8"/>
        <v>-165</v>
      </c>
      <c r="N40">
        <f t="shared" si="9"/>
        <v>0</v>
      </c>
      <c r="O40">
        <f t="shared" si="10"/>
        <v>-100.41035270007259</v>
      </c>
      <c r="P40">
        <f t="shared" si="11"/>
        <v>0</v>
      </c>
      <c r="Q40">
        <f t="shared" si="12"/>
        <v>-23.715964670041931</v>
      </c>
      <c r="R40">
        <f t="shared" si="13"/>
        <v>165</v>
      </c>
      <c r="S40">
        <f t="shared" si="14"/>
        <v>0</v>
      </c>
    </row>
    <row r="41" spans="3:19" x14ac:dyDescent="0.25">
      <c r="C41">
        <v>93.702448636097898</v>
      </c>
      <c r="D41">
        <v>0</v>
      </c>
      <c r="E41">
        <v>38.412951413942181</v>
      </c>
      <c r="G41">
        <v>0</v>
      </c>
      <c r="I41">
        <v>-165</v>
      </c>
      <c r="K41">
        <v>0</v>
      </c>
      <c r="L41">
        <f t="shared" si="7"/>
        <v>132.11540005004008</v>
      </c>
      <c r="M41">
        <f t="shared" si="8"/>
        <v>-165</v>
      </c>
      <c r="N41">
        <f t="shared" si="9"/>
        <v>0</v>
      </c>
      <c r="O41">
        <f t="shared" si="10"/>
        <v>-93.702448636097898</v>
      </c>
      <c r="P41">
        <f t="shared" si="11"/>
        <v>0</v>
      </c>
      <c r="Q41">
        <f t="shared" si="12"/>
        <v>-38.412951413942181</v>
      </c>
      <c r="R41">
        <f t="shared" si="13"/>
        <v>165</v>
      </c>
      <c r="S41">
        <f t="shared" si="14"/>
        <v>0</v>
      </c>
    </row>
    <row r="42" spans="3:19" x14ac:dyDescent="0.25">
      <c r="C42">
        <v>146.33854029140772</v>
      </c>
      <c r="D42">
        <v>0</v>
      </c>
      <c r="E42">
        <v>0</v>
      </c>
      <c r="G42">
        <v>-139.20854688347822</v>
      </c>
      <c r="I42">
        <v>-99.602389052532857</v>
      </c>
      <c r="K42">
        <v>0</v>
      </c>
      <c r="L42">
        <f t="shared" si="7"/>
        <v>146.33854029140772</v>
      </c>
      <c r="M42">
        <f t="shared" si="8"/>
        <v>-238.81093593601108</v>
      </c>
      <c r="N42">
        <f t="shared" si="9"/>
        <v>0</v>
      </c>
      <c r="O42">
        <f t="shared" si="10"/>
        <v>-146.33854029140772</v>
      </c>
      <c r="P42">
        <f t="shared" si="11"/>
        <v>139.20854688347822</v>
      </c>
      <c r="Q42">
        <f t="shared" si="12"/>
        <v>0</v>
      </c>
      <c r="R42">
        <f t="shared" si="13"/>
        <v>99.602389052532857</v>
      </c>
      <c r="S42">
        <f t="shared" si="14"/>
        <v>0</v>
      </c>
    </row>
    <row r="43" spans="3:19" x14ac:dyDescent="0.25">
      <c r="C43">
        <v>80.265180952197738</v>
      </c>
      <c r="D43">
        <v>118.0072205727532</v>
      </c>
      <c r="E43">
        <v>0</v>
      </c>
      <c r="G43">
        <v>-217.42957933098523</v>
      </c>
      <c r="I43">
        <v>0</v>
      </c>
      <c r="K43">
        <v>0</v>
      </c>
      <c r="L43">
        <f t="shared" si="7"/>
        <v>198.27240152495094</v>
      </c>
      <c r="M43">
        <f t="shared" si="8"/>
        <v>-217.42957933098523</v>
      </c>
      <c r="N43">
        <f t="shared" si="9"/>
        <v>0</v>
      </c>
      <c r="O43">
        <f t="shared" si="10"/>
        <v>-80.265180952197738</v>
      </c>
      <c r="P43">
        <f t="shared" si="11"/>
        <v>217.42957933098523</v>
      </c>
      <c r="Q43">
        <f t="shared" si="12"/>
        <v>0</v>
      </c>
      <c r="R43">
        <f t="shared" si="13"/>
        <v>0</v>
      </c>
      <c r="S43">
        <f t="shared" si="14"/>
        <v>-118.0072205727532</v>
      </c>
    </row>
    <row r="44" spans="3:19" x14ac:dyDescent="0.25">
      <c r="C44">
        <v>14.960429334955393</v>
      </c>
      <c r="D44">
        <v>165</v>
      </c>
      <c r="E44">
        <v>0</v>
      </c>
      <c r="G44">
        <v>-180.91420098039907</v>
      </c>
      <c r="I44">
        <v>0</v>
      </c>
      <c r="K44">
        <v>0</v>
      </c>
      <c r="L44">
        <f t="shared" si="7"/>
        <v>179.96042933495539</v>
      </c>
      <c r="M44">
        <f t="shared" si="8"/>
        <v>-180.91420098039907</v>
      </c>
      <c r="N44">
        <f t="shared" si="9"/>
        <v>0</v>
      </c>
      <c r="O44">
        <f t="shared" si="10"/>
        <v>-14.960429334955393</v>
      </c>
      <c r="P44">
        <f t="shared" si="11"/>
        <v>180.91420098039907</v>
      </c>
      <c r="Q44">
        <f t="shared" si="12"/>
        <v>0</v>
      </c>
      <c r="R44">
        <f t="shared" si="13"/>
        <v>0</v>
      </c>
      <c r="S44">
        <f t="shared" si="14"/>
        <v>-165</v>
      </c>
    </row>
    <row r="45" spans="3:19" x14ac:dyDescent="0.25">
      <c r="C45">
        <v>0</v>
      </c>
      <c r="D45">
        <v>165</v>
      </c>
      <c r="E45">
        <v>0</v>
      </c>
      <c r="G45">
        <v>-148.04854331487928</v>
      </c>
      <c r="I45">
        <v>0</v>
      </c>
      <c r="K45">
        <v>-13.71855077512441</v>
      </c>
      <c r="L45">
        <f t="shared" si="7"/>
        <v>165</v>
      </c>
      <c r="M45">
        <f t="shared" si="8"/>
        <v>-161.7670940900037</v>
      </c>
      <c r="N45">
        <f t="shared" si="9"/>
        <v>13.71855077512441</v>
      </c>
      <c r="O45">
        <f t="shared" si="10"/>
        <v>0</v>
      </c>
      <c r="P45">
        <f t="shared" si="11"/>
        <v>148.04854331487928</v>
      </c>
      <c r="Q45">
        <f t="shared" si="12"/>
        <v>0</v>
      </c>
      <c r="R45">
        <f t="shared" si="13"/>
        <v>0</v>
      </c>
      <c r="S45">
        <f t="shared" si="14"/>
        <v>-165</v>
      </c>
    </row>
    <row r="46" spans="3:19" x14ac:dyDescent="0.25">
      <c r="C46">
        <v>64.680305345507534</v>
      </c>
      <c r="D46">
        <v>119.15488474035719</v>
      </c>
      <c r="E46">
        <v>0</v>
      </c>
      <c r="G46">
        <v>-135.09294937962579</v>
      </c>
      <c r="I46">
        <v>0</v>
      </c>
      <c r="K46">
        <v>0</v>
      </c>
      <c r="L46">
        <f t="shared" si="7"/>
        <v>183.83519008586472</v>
      </c>
      <c r="M46">
        <f t="shared" si="8"/>
        <v>-135.09294937962579</v>
      </c>
      <c r="N46">
        <f t="shared" si="9"/>
        <v>0</v>
      </c>
      <c r="O46">
        <f t="shared" si="10"/>
        <v>-64.680305345507534</v>
      </c>
      <c r="P46">
        <f t="shared" si="11"/>
        <v>135.09294937962579</v>
      </c>
      <c r="Q46">
        <f t="shared" si="12"/>
        <v>0</v>
      </c>
      <c r="R46">
        <f t="shared" si="13"/>
        <v>0</v>
      </c>
      <c r="S46">
        <f t="shared" si="14"/>
        <v>-119.15488474035719</v>
      </c>
    </row>
    <row r="47" spans="3:19" x14ac:dyDescent="0.25">
      <c r="C47">
        <v>0</v>
      </c>
      <c r="D47">
        <v>165</v>
      </c>
      <c r="E47">
        <v>0</v>
      </c>
      <c r="G47">
        <v>-86.243314992513206</v>
      </c>
      <c r="I47">
        <v>0</v>
      </c>
      <c r="K47">
        <v>-11.124512785563526</v>
      </c>
      <c r="L47">
        <f t="shared" si="7"/>
        <v>165</v>
      </c>
      <c r="M47">
        <f t="shared" si="8"/>
        <v>-97.36782777807673</v>
      </c>
      <c r="N47">
        <f t="shared" si="9"/>
        <v>11.124512785563526</v>
      </c>
      <c r="O47">
        <f t="shared" si="10"/>
        <v>0</v>
      </c>
      <c r="P47">
        <f t="shared" si="11"/>
        <v>86.243314992513206</v>
      </c>
      <c r="Q47">
        <f t="shared" si="12"/>
        <v>0</v>
      </c>
      <c r="R47">
        <f t="shared" si="13"/>
        <v>0</v>
      </c>
      <c r="S47">
        <f t="shared" si="14"/>
        <v>-165</v>
      </c>
    </row>
    <row r="48" spans="3:19" x14ac:dyDescent="0.25">
      <c r="C48">
        <v>0</v>
      </c>
      <c r="D48">
        <v>165</v>
      </c>
      <c r="E48">
        <v>0</v>
      </c>
      <c r="G48">
        <v>-96.558624323248083</v>
      </c>
      <c r="I48">
        <v>0</v>
      </c>
      <c r="K48">
        <v>-2.1483604954382258</v>
      </c>
      <c r="L48">
        <f t="shared" si="7"/>
        <v>165</v>
      </c>
      <c r="M48">
        <f t="shared" si="8"/>
        <v>-98.706984818686308</v>
      </c>
      <c r="N48">
        <f t="shared" si="9"/>
        <v>2.1483604954382258</v>
      </c>
      <c r="O48">
        <f t="shared" si="10"/>
        <v>0</v>
      </c>
      <c r="P48">
        <f t="shared" si="11"/>
        <v>96.558624323248083</v>
      </c>
      <c r="Q48">
        <f t="shared" si="12"/>
        <v>0</v>
      </c>
      <c r="R48">
        <f t="shared" si="13"/>
        <v>0</v>
      </c>
      <c r="S48">
        <f t="shared" si="14"/>
        <v>-165</v>
      </c>
    </row>
    <row r="49" spans="2:19" x14ac:dyDescent="0.25">
      <c r="C49">
        <v>0</v>
      </c>
      <c r="D49">
        <v>165</v>
      </c>
      <c r="E49">
        <v>0</v>
      </c>
      <c r="G49">
        <v>-92.396867246245193</v>
      </c>
      <c r="I49">
        <v>0</v>
      </c>
      <c r="K49">
        <v>-1.6760534193747962</v>
      </c>
      <c r="L49">
        <f t="shared" si="7"/>
        <v>165</v>
      </c>
      <c r="M49">
        <f t="shared" si="8"/>
        <v>-94.072920665619989</v>
      </c>
      <c r="N49">
        <f t="shared" si="9"/>
        <v>1.6760534193747962</v>
      </c>
      <c r="O49">
        <f t="shared" si="10"/>
        <v>0</v>
      </c>
      <c r="P49">
        <f t="shared" si="11"/>
        <v>92.396867246245193</v>
      </c>
      <c r="Q49">
        <f t="shared" si="12"/>
        <v>0</v>
      </c>
      <c r="R49">
        <f t="shared" si="13"/>
        <v>0</v>
      </c>
      <c r="S49">
        <f t="shared" si="14"/>
        <v>-165</v>
      </c>
    </row>
    <row r="50" spans="2:19" x14ac:dyDescent="0.25">
      <c r="C50">
        <v>0</v>
      </c>
      <c r="D50">
        <v>146.36633153944132</v>
      </c>
      <c r="E50">
        <v>0</v>
      </c>
      <c r="G50">
        <v>-73.27828586375675</v>
      </c>
      <c r="I50">
        <v>0</v>
      </c>
      <c r="K50">
        <v>-45.437776408802002</v>
      </c>
      <c r="L50">
        <f t="shared" si="7"/>
        <v>146.36633153944132</v>
      </c>
      <c r="M50">
        <f t="shared" si="8"/>
        <v>-118.71606227255876</v>
      </c>
      <c r="N50">
        <f t="shared" si="9"/>
        <v>45.437776408802002</v>
      </c>
      <c r="O50">
        <f t="shared" si="10"/>
        <v>0</v>
      </c>
      <c r="P50">
        <f t="shared" si="11"/>
        <v>73.27828586375675</v>
      </c>
      <c r="Q50">
        <f t="shared" si="12"/>
        <v>0</v>
      </c>
      <c r="R50">
        <f t="shared" si="13"/>
        <v>0</v>
      </c>
      <c r="S50">
        <f t="shared" si="14"/>
        <v>-146.36633153944132</v>
      </c>
    </row>
    <row r="51" spans="2:19" x14ac:dyDescent="0.25">
      <c r="C51">
        <v>17.674550285532352</v>
      </c>
      <c r="D51">
        <v>0</v>
      </c>
      <c r="E51">
        <v>0</v>
      </c>
      <c r="G51">
        <v>-69.76725631381457</v>
      </c>
      <c r="I51">
        <v>-63.358556126947747</v>
      </c>
      <c r="K51">
        <v>0</v>
      </c>
      <c r="L51">
        <f t="shared" si="7"/>
        <v>17.674550285532352</v>
      </c>
      <c r="M51">
        <f t="shared" si="8"/>
        <v>-133.12581244076233</v>
      </c>
      <c r="N51">
        <f t="shared" si="9"/>
        <v>0</v>
      </c>
      <c r="O51">
        <f t="shared" si="10"/>
        <v>-17.674550285532352</v>
      </c>
      <c r="P51">
        <f t="shared" si="11"/>
        <v>69.76725631381457</v>
      </c>
      <c r="Q51">
        <f t="shared" si="12"/>
        <v>0</v>
      </c>
      <c r="R51">
        <f t="shared" si="13"/>
        <v>63.358556126947747</v>
      </c>
      <c r="S51">
        <f t="shared" si="14"/>
        <v>0</v>
      </c>
    </row>
    <row r="52" spans="2:19" x14ac:dyDescent="0.25">
      <c r="C52">
        <v>110.6914485641862</v>
      </c>
      <c r="D52">
        <v>0</v>
      </c>
      <c r="E52">
        <v>5.7426603846956557</v>
      </c>
      <c r="G52">
        <v>0</v>
      </c>
      <c r="I52">
        <v>-165</v>
      </c>
      <c r="K52">
        <v>0</v>
      </c>
      <c r="L52">
        <f t="shared" si="7"/>
        <v>116.43410894888186</v>
      </c>
      <c r="M52">
        <f t="shared" si="8"/>
        <v>-165</v>
      </c>
      <c r="N52">
        <f t="shared" si="9"/>
        <v>0</v>
      </c>
      <c r="O52">
        <f t="shared" si="10"/>
        <v>-110.6914485641862</v>
      </c>
      <c r="P52">
        <f t="shared" si="11"/>
        <v>0</v>
      </c>
      <c r="Q52">
        <f t="shared" si="12"/>
        <v>-5.7426603846956557</v>
      </c>
      <c r="R52">
        <f t="shared" si="13"/>
        <v>165</v>
      </c>
      <c r="S52">
        <f t="shared" si="14"/>
        <v>0</v>
      </c>
    </row>
    <row r="53" spans="2:19" x14ac:dyDescent="0.25">
      <c r="C53">
        <v>112.84114979453497</v>
      </c>
      <c r="D53">
        <v>0</v>
      </c>
      <c r="E53">
        <v>1.2703650547072418</v>
      </c>
      <c r="G53">
        <v>0</v>
      </c>
      <c r="I53">
        <v>-165</v>
      </c>
      <c r="K53">
        <v>0</v>
      </c>
      <c r="L53">
        <f t="shared" si="7"/>
        <v>114.11151484924221</v>
      </c>
      <c r="M53">
        <f t="shared" si="8"/>
        <v>-165</v>
      </c>
      <c r="N53">
        <f t="shared" si="9"/>
        <v>0</v>
      </c>
      <c r="O53">
        <f t="shared" si="10"/>
        <v>-112.84114979453497</v>
      </c>
      <c r="P53">
        <f t="shared" si="11"/>
        <v>0</v>
      </c>
      <c r="Q53">
        <f t="shared" si="12"/>
        <v>-1.2703650547072418</v>
      </c>
      <c r="R53">
        <f t="shared" si="13"/>
        <v>165</v>
      </c>
      <c r="S53">
        <f t="shared" si="14"/>
        <v>0</v>
      </c>
    </row>
    <row r="54" spans="2:19" x14ac:dyDescent="0.25">
      <c r="C54">
        <v>159.03803245378407</v>
      </c>
      <c r="D54">
        <v>0</v>
      </c>
      <c r="E54">
        <v>0</v>
      </c>
      <c r="G54">
        <v>-175.4800187320138</v>
      </c>
      <c r="I54">
        <v>-86.353811777104653</v>
      </c>
      <c r="K54">
        <v>0</v>
      </c>
      <c r="L54">
        <f t="shared" si="7"/>
        <v>159.03803245378407</v>
      </c>
      <c r="M54">
        <f t="shared" si="8"/>
        <v>-261.83383050911846</v>
      </c>
      <c r="N54">
        <f t="shared" si="9"/>
        <v>0</v>
      </c>
      <c r="O54">
        <f t="shared" si="10"/>
        <v>-159.03803245378407</v>
      </c>
      <c r="P54">
        <f t="shared" si="11"/>
        <v>175.4800187320138</v>
      </c>
      <c r="Q54">
        <f t="shared" si="12"/>
        <v>0</v>
      </c>
      <c r="R54">
        <f t="shared" si="13"/>
        <v>86.353811777104653</v>
      </c>
      <c r="S54">
        <f t="shared" si="14"/>
        <v>0</v>
      </c>
    </row>
    <row r="55" spans="2:19" x14ac:dyDescent="0.25">
      <c r="C55">
        <v>43.64814119180636</v>
      </c>
      <c r="D55">
        <v>112.69659242981898</v>
      </c>
      <c r="E55">
        <v>0</v>
      </c>
      <c r="G55">
        <v>-116.11324472707497</v>
      </c>
      <c r="I55">
        <v>0</v>
      </c>
      <c r="K55">
        <v>0</v>
      </c>
      <c r="L55">
        <f t="shared" si="7"/>
        <v>156.34473362162532</v>
      </c>
      <c r="M55">
        <f t="shared" si="8"/>
        <v>-116.11324472707497</v>
      </c>
      <c r="N55">
        <f t="shared" si="9"/>
        <v>0</v>
      </c>
      <c r="O55">
        <f t="shared" si="10"/>
        <v>-43.64814119180636</v>
      </c>
      <c r="P55">
        <f t="shared" si="11"/>
        <v>116.11324472707497</v>
      </c>
      <c r="Q55">
        <f t="shared" si="12"/>
        <v>0</v>
      </c>
      <c r="R55">
        <f t="shared" si="13"/>
        <v>0</v>
      </c>
      <c r="S55">
        <f t="shared" si="14"/>
        <v>-112.69659242981898</v>
      </c>
    </row>
    <row r="56" spans="2:19" x14ac:dyDescent="0.25">
      <c r="C56">
        <v>0</v>
      </c>
      <c r="D56">
        <v>165</v>
      </c>
      <c r="E56">
        <v>0</v>
      </c>
      <c r="G56">
        <v>-54.52293909952607</v>
      </c>
      <c r="I56">
        <v>0</v>
      </c>
      <c r="K56">
        <v>-21.310565621923388</v>
      </c>
      <c r="L56">
        <f t="shared" si="7"/>
        <v>165</v>
      </c>
      <c r="M56">
        <f t="shared" si="8"/>
        <v>-75.833504721449458</v>
      </c>
      <c r="N56">
        <f t="shared" si="9"/>
        <v>21.310565621923388</v>
      </c>
      <c r="O56">
        <f t="shared" si="10"/>
        <v>0</v>
      </c>
      <c r="P56">
        <f t="shared" si="11"/>
        <v>54.52293909952607</v>
      </c>
      <c r="Q56">
        <f t="shared" si="12"/>
        <v>0</v>
      </c>
      <c r="R56">
        <f t="shared" si="13"/>
        <v>0</v>
      </c>
      <c r="S56">
        <f t="shared" si="14"/>
        <v>-165</v>
      </c>
    </row>
    <row r="57" spans="2:19" x14ac:dyDescent="0.25">
      <c r="C57">
        <v>0</v>
      </c>
      <c r="D57">
        <v>165</v>
      </c>
      <c r="E57">
        <v>0</v>
      </c>
      <c r="G57">
        <v>-28.64790472115908</v>
      </c>
      <c r="I57">
        <v>0</v>
      </c>
      <c r="K57">
        <v>-14.499491330852948</v>
      </c>
      <c r="L57">
        <f t="shared" si="7"/>
        <v>165</v>
      </c>
      <c r="M57">
        <f t="shared" si="8"/>
        <v>-43.147396052012027</v>
      </c>
      <c r="N57">
        <f t="shared" si="9"/>
        <v>14.499491330852948</v>
      </c>
      <c r="O57">
        <f t="shared" si="10"/>
        <v>0</v>
      </c>
      <c r="P57">
        <f t="shared" si="11"/>
        <v>28.64790472115908</v>
      </c>
      <c r="Q57">
        <f t="shared" si="12"/>
        <v>0</v>
      </c>
      <c r="R57">
        <f t="shared" si="13"/>
        <v>0</v>
      </c>
      <c r="S57">
        <f t="shared" si="14"/>
        <v>-165</v>
      </c>
    </row>
    <row r="58" spans="2:19" x14ac:dyDescent="0.25">
      <c r="C58">
        <v>0</v>
      </c>
      <c r="D58">
        <v>165</v>
      </c>
      <c r="E58">
        <v>0</v>
      </c>
      <c r="G58">
        <v>-34.341259143791831</v>
      </c>
      <c r="I58">
        <v>0</v>
      </c>
      <c r="K58">
        <v>-32.957582377888741</v>
      </c>
      <c r="L58">
        <f t="shared" si="7"/>
        <v>165</v>
      </c>
      <c r="M58">
        <f t="shared" si="8"/>
        <v>-67.298841521680572</v>
      </c>
      <c r="N58">
        <f t="shared" si="9"/>
        <v>32.957582377888741</v>
      </c>
      <c r="O58">
        <f t="shared" si="10"/>
        <v>0</v>
      </c>
      <c r="P58">
        <f t="shared" si="11"/>
        <v>34.341259143791831</v>
      </c>
      <c r="Q58">
        <f t="shared" si="12"/>
        <v>0</v>
      </c>
      <c r="R58">
        <f t="shared" si="13"/>
        <v>0</v>
      </c>
      <c r="S58">
        <f t="shared" si="14"/>
        <v>-165</v>
      </c>
    </row>
    <row r="61" spans="2:19" x14ac:dyDescent="0.25">
      <c r="B61" s="28">
        <v>2050</v>
      </c>
    </row>
    <row r="63" spans="2:19" x14ac:dyDescent="0.25">
      <c r="C63" t="s">
        <v>48</v>
      </c>
      <c r="G63" t="s">
        <v>47</v>
      </c>
      <c r="I63" t="s">
        <v>28</v>
      </c>
      <c r="K63" t="s">
        <v>25</v>
      </c>
      <c r="L63" s="24" t="s">
        <v>56</v>
      </c>
      <c r="M63" s="24"/>
      <c r="N63" s="24" t="s">
        <v>59</v>
      </c>
      <c r="O63" s="24"/>
      <c r="P63" s="24" t="s">
        <v>60</v>
      </c>
      <c r="Q63" s="24"/>
      <c r="R63" s="24" t="s">
        <v>61</v>
      </c>
      <c r="S63" s="24"/>
    </row>
    <row r="64" spans="2:19" x14ac:dyDescent="0.25">
      <c r="C64" t="s">
        <v>44</v>
      </c>
      <c r="D64" t="s">
        <v>45</v>
      </c>
      <c r="E64" t="s">
        <v>46</v>
      </c>
      <c r="G64" t="s">
        <v>46</v>
      </c>
      <c r="I64" t="s">
        <v>45</v>
      </c>
      <c r="K64" t="s">
        <v>44</v>
      </c>
      <c r="L64" t="s">
        <v>57</v>
      </c>
      <c r="M64" t="s">
        <v>58</v>
      </c>
      <c r="N64" t="s">
        <v>57</v>
      </c>
      <c r="O64" t="s">
        <v>58</v>
      </c>
      <c r="P64" t="s">
        <v>57</v>
      </c>
      <c r="Q64" t="s">
        <v>58</v>
      </c>
      <c r="R64" t="s">
        <v>57</v>
      </c>
      <c r="S64" t="s">
        <v>58</v>
      </c>
    </row>
    <row r="65" spans="3:19" x14ac:dyDescent="0.25">
      <c r="C65">
        <v>390</v>
      </c>
      <c r="D65">
        <v>3.7479469988986116</v>
      </c>
      <c r="E65">
        <v>0</v>
      </c>
      <c r="G65">
        <v>-260</v>
      </c>
      <c r="I65">
        <v>0</v>
      </c>
      <c r="K65">
        <v>0</v>
      </c>
      <c r="L65">
        <f>$C65+$D65+$E65</f>
        <v>393.74794699889861</v>
      </c>
      <c r="M65">
        <f>G65+I65+K65</f>
        <v>-260</v>
      </c>
      <c r="N65">
        <f>-K65</f>
        <v>0</v>
      </c>
      <c r="O65">
        <f>-C65</f>
        <v>-390</v>
      </c>
      <c r="P65">
        <f>-G65</f>
        <v>260</v>
      </c>
      <c r="Q65">
        <f>-E65</f>
        <v>0</v>
      </c>
      <c r="R65">
        <f>-I65</f>
        <v>0</v>
      </c>
      <c r="S65">
        <f>-D65</f>
        <v>-3.7479469988986116</v>
      </c>
    </row>
    <row r="66" spans="3:19" x14ac:dyDescent="0.25">
      <c r="C66">
        <v>390</v>
      </c>
      <c r="D66">
        <v>2.6440403054271542</v>
      </c>
      <c r="E66">
        <v>0</v>
      </c>
      <c r="G66">
        <v>-260</v>
      </c>
      <c r="I66">
        <v>0</v>
      </c>
      <c r="K66">
        <v>0</v>
      </c>
      <c r="L66">
        <f t="shared" ref="L66:L88" si="15">C66+D66+E66</f>
        <v>392.64404030542715</v>
      </c>
      <c r="M66">
        <f t="shared" ref="M66:M88" si="16">G66+I66+K66</f>
        <v>-260</v>
      </c>
      <c r="N66">
        <f t="shared" ref="N66:N88" si="17">-K66</f>
        <v>0</v>
      </c>
      <c r="O66">
        <f t="shared" ref="O66:O88" si="18">-C66</f>
        <v>-390</v>
      </c>
      <c r="P66">
        <f t="shared" ref="P66:P88" si="19">-G66</f>
        <v>260</v>
      </c>
      <c r="Q66">
        <f t="shared" ref="Q66:Q88" si="20">-E66</f>
        <v>0</v>
      </c>
      <c r="R66">
        <f t="shared" ref="R66:R88" si="21">-I66</f>
        <v>0</v>
      </c>
      <c r="S66">
        <f t="shared" ref="S66:S88" si="22">-D66</f>
        <v>-2.6440403054271542</v>
      </c>
    </row>
    <row r="67" spans="3:19" x14ac:dyDescent="0.25">
      <c r="C67">
        <v>390</v>
      </c>
      <c r="D67">
        <v>2.4602867732572236</v>
      </c>
      <c r="E67">
        <v>0</v>
      </c>
      <c r="G67">
        <v>-260</v>
      </c>
      <c r="I67">
        <v>0</v>
      </c>
      <c r="K67">
        <v>0</v>
      </c>
      <c r="L67">
        <f t="shared" si="15"/>
        <v>392.46028677325722</v>
      </c>
      <c r="M67">
        <f t="shared" si="16"/>
        <v>-260</v>
      </c>
      <c r="N67">
        <f t="shared" si="17"/>
        <v>0</v>
      </c>
      <c r="O67">
        <f t="shared" si="18"/>
        <v>-390</v>
      </c>
      <c r="P67">
        <f t="shared" si="19"/>
        <v>260</v>
      </c>
      <c r="Q67">
        <f t="shared" si="20"/>
        <v>0</v>
      </c>
      <c r="R67">
        <f t="shared" si="21"/>
        <v>0</v>
      </c>
      <c r="S67">
        <f t="shared" si="22"/>
        <v>-2.4602867732572236</v>
      </c>
    </row>
    <row r="68" spans="3:19" x14ac:dyDescent="0.25">
      <c r="C68">
        <v>320.45031084543723</v>
      </c>
      <c r="D68">
        <v>0</v>
      </c>
      <c r="E68">
        <v>0</v>
      </c>
      <c r="G68">
        <v>-260</v>
      </c>
      <c r="I68">
        <v>-41.319991848180791</v>
      </c>
      <c r="K68">
        <v>0</v>
      </c>
      <c r="L68">
        <f t="shared" si="15"/>
        <v>320.45031084543723</v>
      </c>
      <c r="M68">
        <f t="shared" si="16"/>
        <v>-301.31999184818079</v>
      </c>
      <c r="N68">
        <f t="shared" si="17"/>
        <v>0</v>
      </c>
      <c r="O68">
        <f t="shared" si="18"/>
        <v>-320.45031084543723</v>
      </c>
      <c r="P68">
        <f t="shared" si="19"/>
        <v>260</v>
      </c>
      <c r="Q68">
        <f t="shared" si="20"/>
        <v>0</v>
      </c>
      <c r="R68">
        <f t="shared" si="21"/>
        <v>41.319991848180791</v>
      </c>
      <c r="S68">
        <f t="shared" si="22"/>
        <v>0</v>
      </c>
    </row>
    <row r="69" spans="3:19" x14ac:dyDescent="0.25">
      <c r="C69">
        <v>99.4002017708371</v>
      </c>
      <c r="D69">
        <v>0</v>
      </c>
      <c r="E69">
        <v>60.953988033340238</v>
      </c>
      <c r="G69">
        <v>0</v>
      </c>
      <c r="I69">
        <v>-6.4136577492611195</v>
      </c>
      <c r="K69">
        <v>0</v>
      </c>
      <c r="L69">
        <f t="shared" si="15"/>
        <v>160.35418980417734</v>
      </c>
      <c r="M69">
        <f t="shared" si="16"/>
        <v>-6.4136577492611195</v>
      </c>
      <c r="N69">
        <f t="shared" si="17"/>
        <v>0</v>
      </c>
      <c r="O69">
        <f t="shared" si="18"/>
        <v>-99.4002017708371</v>
      </c>
      <c r="P69">
        <f t="shared" si="19"/>
        <v>0</v>
      </c>
      <c r="Q69">
        <f t="shared" si="20"/>
        <v>-60.953988033340238</v>
      </c>
      <c r="R69">
        <f t="shared" si="21"/>
        <v>6.4136577492611195</v>
      </c>
      <c r="S69">
        <f t="shared" si="22"/>
        <v>0</v>
      </c>
    </row>
    <row r="70" spans="3:19" x14ac:dyDescent="0.25">
      <c r="C70">
        <v>193.79278212304393</v>
      </c>
      <c r="D70">
        <v>0</v>
      </c>
      <c r="E70">
        <v>43.371709476161847</v>
      </c>
      <c r="G70">
        <v>0</v>
      </c>
      <c r="I70">
        <v>-164.82540279898848</v>
      </c>
      <c r="K70">
        <v>0</v>
      </c>
      <c r="L70">
        <f t="shared" si="15"/>
        <v>237.16449159920577</v>
      </c>
      <c r="M70">
        <f t="shared" si="16"/>
        <v>-164.82540279898848</v>
      </c>
      <c r="N70">
        <f t="shared" si="17"/>
        <v>0</v>
      </c>
      <c r="O70">
        <f t="shared" si="18"/>
        <v>-193.79278212304393</v>
      </c>
      <c r="P70">
        <f t="shared" si="19"/>
        <v>0</v>
      </c>
      <c r="Q70">
        <f t="shared" si="20"/>
        <v>-43.371709476161847</v>
      </c>
      <c r="R70">
        <f t="shared" si="21"/>
        <v>164.82540279898848</v>
      </c>
      <c r="S70">
        <f t="shared" si="22"/>
        <v>0</v>
      </c>
    </row>
    <row r="71" spans="3:19" x14ac:dyDescent="0.25">
      <c r="C71">
        <v>183.7961108248947</v>
      </c>
      <c r="D71">
        <v>0</v>
      </c>
      <c r="E71">
        <v>71.452693401450773</v>
      </c>
      <c r="G71">
        <v>0</v>
      </c>
      <c r="I71">
        <v>-165</v>
      </c>
      <c r="K71">
        <v>0</v>
      </c>
      <c r="L71">
        <f t="shared" si="15"/>
        <v>255.24880422634547</v>
      </c>
      <c r="M71">
        <f t="shared" si="16"/>
        <v>-165</v>
      </c>
      <c r="N71">
        <f t="shared" si="17"/>
        <v>0</v>
      </c>
      <c r="O71">
        <f t="shared" si="18"/>
        <v>-183.7961108248947</v>
      </c>
      <c r="P71">
        <f t="shared" si="19"/>
        <v>0</v>
      </c>
      <c r="Q71">
        <f t="shared" si="20"/>
        <v>-71.452693401450773</v>
      </c>
      <c r="R71">
        <f t="shared" si="21"/>
        <v>165</v>
      </c>
      <c r="S71">
        <f t="shared" si="22"/>
        <v>0</v>
      </c>
    </row>
    <row r="72" spans="3:19" x14ac:dyDescent="0.25">
      <c r="C72">
        <v>143.24832549950892</v>
      </c>
      <c r="D72">
        <v>0</v>
      </c>
      <c r="E72">
        <v>0</v>
      </c>
      <c r="G72">
        <v>-137.37530201904292</v>
      </c>
      <c r="I72">
        <v>-55.87217300662239</v>
      </c>
      <c r="K72">
        <v>0</v>
      </c>
      <c r="L72">
        <f t="shared" si="15"/>
        <v>143.24832549950892</v>
      </c>
      <c r="M72">
        <f t="shared" si="16"/>
        <v>-193.24747502566532</v>
      </c>
      <c r="N72">
        <f t="shared" si="17"/>
        <v>0</v>
      </c>
      <c r="O72">
        <f t="shared" si="18"/>
        <v>-143.24832549950892</v>
      </c>
      <c r="P72">
        <f t="shared" si="19"/>
        <v>137.37530201904292</v>
      </c>
      <c r="Q72">
        <f t="shared" si="20"/>
        <v>0</v>
      </c>
      <c r="R72">
        <f t="shared" si="21"/>
        <v>55.87217300662239</v>
      </c>
      <c r="S72">
        <f t="shared" si="22"/>
        <v>0</v>
      </c>
    </row>
    <row r="73" spans="3:19" x14ac:dyDescent="0.25">
      <c r="C73">
        <v>247.00694920734338</v>
      </c>
      <c r="D73">
        <v>0</v>
      </c>
      <c r="E73">
        <v>0</v>
      </c>
      <c r="G73">
        <v>-183.97633584711505</v>
      </c>
      <c r="I73">
        <v>-102.52439605447854</v>
      </c>
      <c r="K73">
        <v>0</v>
      </c>
      <c r="L73">
        <f t="shared" si="15"/>
        <v>247.00694920734338</v>
      </c>
      <c r="M73">
        <f t="shared" si="16"/>
        <v>-286.50073190159361</v>
      </c>
      <c r="N73">
        <f t="shared" si="17"/>
        <v>0</v>
      </c>
      <c r="O73">
        <f t="shared" si="18"/>
        <v>-247.00694920734338</v>
      </c>
      <c r="P73">
        <f t="shared" si="19"/>
        <v>183.97633584711505</v>
      </c>
      <c r="Q73">
        <f t="shared" si="20"/>
        <v>0</v>
      </c>
      <c r="R73">
        <f t="shared" si="21"/>
        <v>102.52439605447854</v>
      </c>
      <c r="S73">
        <f t="shared" si="22"/>
        <v>0</v>
      </c>
    </row>
    <row r="74" spans="3:19" x14ac:dyDescent="0.25">
      <c r="C74">
        <v>251.29544463051792</v>
      </c>
      <c r="D74">
        <v>34.022808553192469</v>
      </c>
      <c r="E74">
        <v>0</v>
      </c>
      <c r="G74">
        <v>-195.55842285591783</v>
      </c>
      <c r="I74">
        <v>0</v>
      </c>
      <c r="K74">
        <v>0</v>
      </c>
      <c r="L74">
        <f t="shared" si="15"/>
        <v>285.3182531837104</v>
      </c>
      <c r="M74">
        <f t="shared" si="16"/>
        <v>-195.55842285591783</v>
      </c>
      <c r="N74">
        <f t="shared" si="17"/>
        <v>0</v>
      </c>
      <c r="O74">
        <f t="shared" si="18"/>
        <v>-251.29544463051792</v>
      </c>
      <c r="P74">
        <f t="shared" si="19"/>
        <v>195.55842285591783</v>
      </c>
      <c r="Q74">
        <f t="shared" si="20"/>
        <v>0</v>
      </c>
      <c r="R74">
        <f t="shared" si="21"/>
        <v>0</v>
      </c>
      <c r="S74">
        <f t="shared" si="22"/>
        <v>-34.022808553192469</v>
      </c>
    </row>
    <row r="75" spans="3:19" x14ac:dyDescent="0.25">
      <c r="C75">
        <v>250.69066004322525</v>
      </c>
      <c r="D75">
        <v>34.302780518474151</v>
      </c>
      <c r="E75">
        <v>0</v>
      </c>
      <c r="G75">
        <v>-196.4582385812098</v>
      </c>
      <c r="I75">
        <v>0</v>
      </c>
      <c r="K75">
        <v>0</v>
      </c>
      <c r="L75">
        <f t="shared" si="15"/>
        <v>284.9934405616994</v>
      </c>
      <c r="M75">
        <f t="shared" si="16"/>
        <v>-196.4582385812098</v>
      </c>
      <c r="N75">
        <f t="shared" si="17"/>
        <v>0</v>
      </c>
      <c r="O75">
        <f t="shared" si="18"/>
        <v>-250.69066004322525</v>
      </c>
      <c r="P75">
        <f t="shared" si="19"/>
        <v>196.4582385812098</v>
      </c>
      <c r="Q75">
        <f t="shared" si="20"/>
        <v>0</v>
      </c>
      <c r="R75">
        <f t="shared" si="21"/>
        <v>0</v>
      </c>
      <c r="S75">
        <f t="shared" si="22"/>
        <v>-34.302780518474151</v>
      </c>
    </row>
    <row r="76" spans="3:19" x14ac:dyDescent="0.25">
      <c r="C76">
        <v>324.46789662196738</v>
      </c>
      <c r="D76">
        <v>34.967959621639366</v>
      </c>
      <c r="E76">
        <v>0</v>
      </c>
      <c r="G76">
        <v>-230.48026268515818</v>
      </c>
      <c r="I76">
        <v>0</v>
      </c>
      <c r="K76">
        <v>0</v>
      </c>
      <c r="L76">
        <f t="shared" si="15"/>
        <v>359.43585624360674</v>
      </c>
      <c r="M76">
        <f t="shared" si="16"/>
        <v>-230.48026268515818</v>
      </c>
      <c r="N76">
        <f t="shared" si="17"/>
        <v>0</v>
      </c>
      <c r="O76">
        <f t="shared" si="18"/>
        <v>-324.46789662196738</v>
      </c>
      <c r="P76">
        <f t="shared" si="19"/>
        <v>230.48026268515818</v>
      </c>
      <c r="Q76">
        <f t="shared" si="20"/>
        <v>0</v>
      </c>
      <c r="R76">
        <f t="shared" si="21"/>
        <v>0</v>
      </c>
      <c r="S76">
        <f t="shared" si="22"/>
        <v>-34.967959621639366</v>
      </c>
    </row>
    <row r="77" spans="3:19" x14ac:dyDescent="0.25">
      <c r="C77">
        <v>264.49482180640439</v>
      </c>
      <c r="D77">
        <v>24.734110291473435</v>
      </c>
      <c r="E77">
        <v>0</v>
      </c>
      <c r="G77">
        <v>-260</v>
      </c>
      <c r="I77">
        <v>0</v>
      </c>
      <c r="K77">
        <v>0</v>
      </c>
      <c r="L77">
        <f t="shared" si="15"/>
        <v>289.22893209787782</v>
      </c>
      <c r="M77">
        <f t="shared" si="16"/>
        <v>-260</v>
      </c>
      <c r="N77">
        <f t="shared" si="17"/>
        <v>0</v>
      </c>
      <c r="O77">
        <f t="shared" si="18"/>
        <v>-264.49482180640439</v>
      </c>
      <c r="P77">
        <f t="shared" si="19"/>
        <v>260</v>
      </c>
      <c r="Q77">
        <f t="shared" si="20"/>
        <v>0</v>
      </c>
      <c r="R77">
        <f t="shared" si="21"/>
        <v>0</v>
      </c>
      <c r="S77">
        <f t="shared" si="22"/>
        <v>-24.734110291473435</v>
      </c>
    </row>
    <row r="78" spans="3:19" x14ac:dyDescent="0.25">
      <c r="C78">
        <v>270.66547607287174</v>
      </c>
      <c r="D78">
        <v>22.138562823983193</v>
      </c>
      <c r="E78">
        <v>0</v>
      </c>
      <c r="G78">
        <v>-260</v>
      </c>
      <c r="I78">
        <v>0</v>
      </c>
      <c r="K78">
        <v>0</v>
      </c>
      <c r="L78">
        <f t="shared" si="15"/>
        <v>292.80403889685493</v>
      </c>
      <c r="M78">
        <f t="shared" si="16"/>
        <v>-260</v>
      </c>
      <c r="N78">
        <f t="shared" si="17"/>
        <v>0</v>
      </c>
      <c r="O78">
        <f t="shared" si="18"/>
        <v>-270.66547607287174</v>
      </c>
      <c r="P78">
        <f t="shared" si="19"/>
        <v>260</v>
      </c>
      <c r="Q78">
        <f t="shared" si="20"/>
        <v>0</v>
      </c>
      <c r="R78">
        <f t="shared" si="21"/>
        <v>0</v>
      </c>
      <c r="S78">
        <f t="shared" si="22"/>
        <v>-22.138562823983193</v>
      </c>
    </row>
    <row r="79" spans="3:19" x14ac:dyDescent="0.25">
      <c r="C79">
        <v>266.03240632238465</v>
      </c>
      <c r="D79">
        <v>21.156442509089743</v>
      </c>
      <c r="E79">
        <v>0</v>
      </c>
      <c r="G79">
        <v>-260</v>
      </c>
      <c r="I79">
        <v>0</v>
      </c>
      <c r="K79">
        <v>0</v>
      </c>
      <c r="L79">
        <f t="shared" si="15"/>
        <v>287.18884883147439</v>
      </c>
      <c r="M79">
        <f t="shared" si="16"/>
        <v>-260</v>
      </c>
      <c r="N79">
        <f t="shared" si="17"/>
        <v>0</v>
      </c>
      <c r="O79">
        <f t="shared" si="18"/>
        <v>-266.03240632238465</v>
      </c>
      <c r="P79">
        <f t="shared" si="19"/>
        <v>260</v>
      </c>
      <c r="Q79">
        <f t="shared" si="20"/>
        <v>0</v>
      </c>
      <c r="R79">
        <f t="shared" si="21"/>
        <v>0</v>
      </c>
      <c r="S79">
        <f t="shared" si="22"/>
        <v>-21.156442509089743</v>
      </c>
    </row>
    <row r="80" spans="3:19" x14ac:dyDescent="0.25">
      <c r="C80">
        <v>175.60165418947904</v>
      </c>
      <c r="D80">
        <v>133.41623300900372</v>
      </c>
      <c r="E80">
        <v>0</v>
      </c>
      <c r="G80">
        <v>-260</v>
      </c>
      <c r="I80">
        <v>0</v>
      </c>
      <c r="K80">
        <v>0</v>
      </c>
      <c r="L80">
        <f t="shared" si="15"/>
        <v>309.01788719848275</v>
      </c>
      <c r="M80">
        <f t="shared" si="16"/>
        <v>-260</v>
      </c>
      <c r="N80">
        <f t="shared" si="17"/>
        <v>0</v>
      </c>
      <c r="O80">
        <f t="shared" si="18"/>
        <v>-175.60165418947904</v>
      </c>
      <c r="P80">
        <f t="shared" si="19"/>
        <v>260</v>
      </c>
      <c r="Q80">
        <f t="shared" si="20"/>
        <v>0</v>
      </c>
      <c r="R80">
        <f t="shared" si="21"/>
        <v>0</v>
      </c>
      <c r="S80">
        <f t="shared" si="22"/>
        <v>-133.41623300900372</v>
      </c>
    </row>
    <row r="81" spans="3:27" x14ac:dyDescent="0.25">
      <c r="C81">
        <v>86.696456641130169</v>
      </c>
      <c r="D81">
        <v>0</v>
      </c>
      <c r="E81">
        <v>168.02909759041802</v>
      </c>
      <c r="G81">
        <v>0</v>
      </c>
      <c r="I81">
        <v>-7.6821126853056398</v>
      </c>
      <c r="K81">
        <v>0</v>
      </c>
      <c r="L81">
        <f t="shared" si="15"/>
        <v>254.72555423154819</v>
      </c>
      <c r="M81">
        <f t="shared" si="16"/>
        <v>-7.6821126853056398</v>
      </c>
      <c r="N81">
        <f t="shared" si="17"/>
        <v>0</v>
      </c>
      <c r="O81">
        <f t="shared" si="18"/>
        <v>-86.696456641130169</v>
      </c>
      <c r="P81">
        <f t="shared" si="19"/>
        <v>0</v>
      </c>
      <c r="Q81">
        <f t="shared" si="20"/>
        <v>-168.02909759041802</v>
      </c>
      <c r="R81">
        <f t="shared" si="21"/>
        <v>7.6821126853056398</v>
      </c>
      <c r="S81">
        <f t="shared" si="22"/>
        <v>0</v>
      </c>
    </row>
    <row r="82" spans="3:27" x14ac:dyDescent="0.25">
      <c r="C82">
        <v>97.057420296531149</v>
      </c>
      <c r="D82">
        <v>0</v>
      </c>
      <c r="E82">
        <v>119.61123559303314</v>
      </c>
      <c r="G82">
        <v>0</v>
      </c>
      <c r="I82">
        <v>-161.44124377933937</v>
      </c>
      <c r="K82">
        <v>0</v>
      </c>
      <c r="L82">
        <f t="shared" si="15"/>
        <v>216.66865588956429</v>
      </c>
      <c r="M82">
        <f t="shared" si="16"/>
        <v>-161.44124377933937</v>
      </c>
      <c r="N82">
        <f t="shared" si="17"/>
        <v>0</v>
      </c>
      <c r="O82">
        <f t="shared" si="18"/>
        <v>-97.057420296531149</v>
      </c>
      <c r="P82">
        <f t="shared" si="19"/>
        <v>0</v>
      </c>
      <c r="Q82">
        <f t="shared" si="20"/>
        <v>-119.61123559303314</v>
      </c>
      <c r="R82">
        <f t="shared" si="21"/>
        <v>161.44124377933937</v>
      </c>
      <c r="S82">
        <f t="shared" si="22"/>
        <v>0</v>
      </c>
    </row>
    <row r="83" spans="3:27" x14ac:dyDescent="0.25">
      <c r="C83">
        <v>152.11755024659357</v>
      </c>
      <c r="D83">
        <v>0</v>
      </c>
      <c r="E83">
        <v>33.544463411911117</v>
      </c>
      <c r="G83">
        <v>0</v>
      </c>
      <c r="I83">
        <v>-137.92823469030631</v>
      </c>
      <c r="K83">
        <v>0</v>
      </c>
      <c r="L83">
        <f t="shared" si="15"/>
        <v>185.66201365850469</v>
      </c>
      <c r="M83">
        <f t="shared" si="16"/>
        <v>-137.92823469030631</v>
      </c>
      <c r="N83">
        <f t="shared" si="17"/>
        <v>0</v>
      </c>
      <c r="O83">
        <f t="shared" si="18"/>
        <v>-152.11755024659357</v>
      </c>
      <c r="P83">
        <f t="shared" si="19"/>
        <v>0</v>
      </c>
      <c r="Q83">
        <f t="shared" si="20"/>
        <v>-33.544463411911117</v>
      </c>
      <c r="R83">
        <f t="shared" si="21"/>
        <v>137.92823469030631</v>
      </c>
      <c r="S83">
        <f t="shared" si="22"/>
        <v>0</v>
      </c>
    </row>
    <row r="84" spans="3:27" x14ac:dyDescent="0.25">
      <c r="C84">
        <v>138.1368408265796</v>
      </c>
      <c r="D84">
        <v>0</v>
      </c>
      <c r="E84">
        <v>0</v>
      </c>
      <c r="G84">
        <v>-34.738899388614179</v>
      </c>
      <c r="I84">
        <v>-20.187817285115898</v>
      </c>
      <c r="K84">
        <v>0</v>
      </c>
      <c r="L84">
        <f t="shared" si="15"/>
        <v>138.1368408265796</v>
      </c>
      <c r="M84">
        <f t="shared" si="16"/>
        <v>-54.926716673730077</v>
      </c>
      <c r="N84">
        <f t="shared" si="17"/>
        <v>0</v>
      </c>
      <c r="O84">
        <f t="shared" si="18"/>
        <v>-138.1368408265796</v>
      </c>
      <c r="P84">
        <f t="shared" si="19"/>
        <v>34.738899388614179</v>
      </c>
      <c r="Q84">
        <f t="shared" si="20"/>
        <v>0</v>
      </c>
      <c r="R84">
        <f t="shared" si="21"/>
        <v>20.187817285115898</v>
      </c>
      <c r="S84">
        <f t="shared" si="22"/>
        <v>0</v>
      </c>
    </row>
    <row r="85" spans="3:27" x14ac:dyDescent="0.25">
      <c r="C85">
        <v>171.90609405604184</v>
      </c>
      <c r="D85">
        <v>116.47235782736163</v>
      </c>
      <c r="E85">
        <v>0</v>
      </c>
      <c r="G85">
        <v>-67.831083017963252</v>
      </c>
      <c r="I85">
        <v>0</v>
      </c>
      <c r="K85">
        <v>0</v>
      </c>
      <c r="L85">
        <f t="shared" si="15"/>
        <v>288.3784518834035</v>
      </c>
      <c r="M85">
        <f t="shared" si="16"/>
        <v>-67.831083017963252</v>
      </c>
      <c r="N85">
        <f t="shared" si="17"/>
        <v>0</v>
      </c>
      <c r="O85">
        <f t="shared" si="18"/>
        <v>-171.90609405604184</v>
      </c>
      <c r="P85">
        <f t="shared" si="19"/>
        <v>67.831083017963252</v>
      </c>
      <c r="Q85">
        <f t="shared" si="20"/>
        <v>0</v>
      </c>
      <c r="R85">
        <f t="shared" si="21"/>
        <v>0</v>
      </c>
      <c r="S85">
        <f t="shared" si="22"/>
        <v>-116.47235782736163</v>
      </c>
    </row>
    <row r="86" spans="3:27" x14ac:dyDescent="0.25">
      <c r="C86">
        <v>240.76003054263123</v>
      </c>
      <c r="D86">
        <v>23.877883639548774</v>
      </c>
      <c r="E86">
        <v>0</v>
      </c>
      <c r="G86">
        <v>-172.1233406150339</v>
      </c>
      <c r="I86">
        <v>0</v>
      </c>
      <c r="K86">
        <v>0</v>
      </c>
      <c r="L86">
        <f t="shared" si="15"/>
        <v>264.63791418218</v>
      </c>
      <c r="M86">
        <f t="shared" si="16"/>
        <v>-172.1233406150339</v>
      </c>
      <c r="N86">
        <f t="shared" si="17"/>
        <v>0</v>
      </c>
      <c r="O86">
        <f t="shared" si="18"/>
        <v>-240.76003054263123</v>
      </c>
      <c r="P86">
        <f t="shared" si="19"/>
        <v>172.1233406150339</v>
      </c>
      <c r="Q86">
        <f t="shared" si="20"/>
        <v>0</v>
      </c>
      <c r="R86">
        <f t="shared" si="21"/>
        <v>0</v>
      </c>
      <c r="S86">
        <f t="shared" si="22"/>
        <v>-23.877883639548774</v>
      </c>
    </row>
    <row r="87" spans="3:27" x14ac:dyDescent="0.25">
      <c r="C87">
        <v>249.78247158313903</v>
      </c>
      <c r="D87">
        <v>39.290849664358468</v>
      </c>
      <c r="E87">
        <v>0</v>
      </c>
      <c r="G87">
        <v>-197.80304794290922</v>
      </c>
      <c r="I87">
        <v>0</v>
      </c>
      <c r="K87">
        <v>0</v>
      </c>
      <c r="L87">
        <f t="shared" si="15"/>
        <v>289.07332124749752</v>
      </c>
      <c r="M87">
        <f t="shared" si="16"/>
        <v>-197.80304794290922</v>
      </c>
      <c r="N87">
        <f t="shared" si="17"/>
        <v>0</v>
      </c>
      <c r="O87">
        <f t="shared" si="18"/>
        <v>-249.78247158313903</v>
      </c>
      <c r="P87">
        <f t="shared" si="19"/>
        <v>197.80304794290922</v>
      </c>
      <c r="Q87">
        <f t="shared" si="20"/>
        <v>0</v>
      </c>
      <c r="R87">
        <f t="shared" si="21"/>
        <v>0</v>
      </c>
      <c r="S87">
        <f t="shared" si="22"/>
        <v>-39.290849664358468</v>
      </c>
    </row>
    <row r="88" spans="3:27" x14ac:dyDescent="0.25">
      <c r="C88">
        <v>228.18357437263248</v>
      </c>
      <c r="D88">
        <v>26.80556793327975</v>
      </c>
      <c r="E88">
        <v>0</v>
      </c>
      <c r="G88">
        <v>-229.76765699432835</v>
      </c>
      <c r="I88">
        <v>0</v>
      </c>
      <c r="K88">
        <v>0</v>
      </c>
      <c r="L88">
        <f t="shared" si="15"/>
        <v>254.98914230591222</v>
      </c>
      <c r="M88">
        <f t="shared" si="16"/>
        <v>-229.76765699432835</v>
      </c>
      <c r="N88">
        <f t="shared" si="17"/>
        <v>0</v>
      </c>
      <c r="O88">
        <f t="shared" si="18"/>
        <v>-228.18357437263248</v>
      </c>
      <c r="P88">
        <f t="shared" si="19"/>
        <v>229.76765699432835</v>
      </c>
      <c r="Q88">
        <f t="shared" si="20"/>
        <v>0</v>
      </c>
      <c r="R88">
        <f t="shared" si="21"/>
        <v>0</v>
      </c>
      <c r="S88">
        <f t="shared" si="22"/>
        <v>-26.80556793327975</v>
      </c>
    </row>
    <row r="93" spans="3:27" x14ac:dyDescent="0.25">
      <c r="D93" s="24">
        <v>2030</v>
      </c>
      <c r="E93" s="24"/>
      <c r="F93" s="24"/>
      <c r="G93" s="24"/>
      <c r="H93" s="24"/>
      <c r="I93" s="24"/>
      <c r="J93" s="24"/>
      <c r="K93" s="24"/>
      <c r="L93" s="24">
        <v>2040</v>
      </c>
      <c r="M93" s="24"/>
      <c r="N93" s="24"/>
      <c r="O93" s="24"/>
      <c r="P93" s="24"/>
      <c r="Q93" s="24"/>
      <c r="R93" s="24"/>
      <c r="S93" s="24"/>
      <c r="T93" s="24">
        <v>2050</v>
      </c>
      <c r="U93" s="24"/>
      <c r="V93" s="24"/>
      <c r="W93" s="24"/>
      <c r="X93" s="24"/>
      <c r="Y93" s="24"/>
      <c r="Z93" s="24"/>
      <c r="AA93" s="24"/>
    </row>
    <row r="94" spans="3:27" x14ac:dyDescent="0.25">
      <c r="D94" t="s">
        <v>56</v>
      </c>
      <c r="F94" t="s">
        <v>59</v>
      </c>
      <c r="H94" t="s">
        <v>60</v>
      </c>
      <c r="J94" t="s">
        <v>61</v>
      </c>
      <c r="L94" t="s">
        <v>56</v>
      </c>
      <c r="N94" t="s">
        <v>59</v>
      </c>
      <c r="P94" t="s">
        <v>60</v>
      </c>
      <c r="R94" t="s">
        <v>61</v>
      </c>
      <c r="T94" t="s">
        <v>56</v>
      </c>
      <c r="V94" t="s">
        <v>59</v>
      </c>
      <c r="X94" t="s">
        <v>60</v>
      </c>
      <c r="Z94" t="s">
        <v>61</v>
      </c>
    </row>
    <row r="95" spans="3:27" x14ac:dyDescent="0.25">
      <c r="C95" t="s">
        <v>62</v>
      </c>
      <c r="D95" t="s">
        <v>63</v>
      </c>
      <c r="E95" t="s">
        <v>64</v>
      </c>
      <c r="F95" t="s">
        <v>65</v>
      </c>
      <c r="G95" t="s">
        <v>66</v>
      </c>
      <c r="H95" t="s">
        <v>67</v>
      </c>
      <c r="I95" t="s">
        <v>68</v>
      </c>
      <c r="J95" t="s">
        <v>69</v>
      </c>
      <c r="K95" t="s">
        <v>70</v>
      </c>
      <c r="L95" t="s">
        <v>71</v>
      </c>
      <c r="M95" t="s">
        <v>72</v>
      </c>
      <c r="N95" t="s">
        <v>73</v>
      </c>
      <c r="O95" t="s">
        <v>74</v>
      </c>
      <c r="P95" t="s">
        <v>75</v>
      </c>
      <c r="Q95" t="s">
        <v>76</v>
      </c>
      <c r="R95" t="s">
        <v>77</v>
      </c>
      <c r="S95" t="s">
        <v>78</v>
      </c>
      <c r="T95" t="s">
        <v>79</v>
      </c>
      <c r="U95" t="s">
        <v>80</v>
      </c>
      <c r="V95" t="s">
        <v>81</v>
      </c>
      <c r="W95" t="s">
        <v>82</v>
      </c>
      <c r="X95" t="s">
        <v>83</v>
      </c>
      <c r="Y95" t="s">
        <v>84</v>
      </c>
      <c r="Z95" t="s">
        <v>85</v>
      </c>
      <c r="AA95" t="s">
        <v>86</v>
      </c>
    </row>
    <row r="96" spans="3:27" x14ac:dyDescent="0.25">
      <c r="C96" t="s">
        <v>0</v>
      </c>
      <c r="D96" s="29">
        <v>132.22430348421108</v>
      </c>
      <c r="E96" s="29">
        <v>-191.96989177821638</v>
      </c>
      <c r="F96" s="29">
        <v>0</v>
      </c>
      <c r="G96" s="29">
        <v>-132.22430348421108</v>
      </c>
      <c r="H96" s="29">
        <v>146.37519907280588</v>
      </c>
      <c r="I96" s="29">
        <v>0</v>
      </c>
      <c r="J96" s="29">
        <v>45.594692705410502</v>
      </c>
      <c r="K96" s="29">
        <v>0</v>
      </c>
      <c r="L96" s="29">
        <v>245.78535299348704</v>
      </c>
      <c r="M96" s="29">
        <v>-324.14951459193838</v>
      </c>
      <c r="N96">
        <f>-K96</f>
        <v>0</v>
      </c>
      <c r="O96" s="29">
        <v>-245.78535299348704</v>
      </c>
      <c r="P96" s="29">
        <v>260</v>
      </c>
      <c r="Q96" s="29">
        <v>0</v>
      </c>
      <c r="R96" s="29">
        <v>64.149514591938384</v>
      </c>
      <c r="S96" s="29">
        <v>0</v>
      </c>
      <c r="T96" s="29">
        <v>393.74794699889861</v>
      </c>
      <c r="U96" s="29">
        <v>-260</v>
      </c>
      <c r="V96" s="29">
        <v>0</v>
      </c>
      <c r="W96" s="29">
        <v>-390</v>
      </c>
      <c r="X96" s="29">
        <v>260</v>
      </c>
      <c r="Y96" s="29">
        <v>0</v>
      </c>
      <c r="Z96" s="29">
        <v>0</v>
      </c>
      <c r="AA96" s="29">
        <v>-3.7479469988986116</v>
      </c>
    </row>
    <row r="97" spans="3:27" x14ac:dyDescent="0.25">
      <c r="C97" t="s">
        <v>1</v>
      </c>
      <c r="D97" s="29">
        <v>165.21593529960313</v>
      </c>
      <c r="E97" s="29">
        <v>-276.23539993654578</v>
      </c>
      <c r="F97" s="29">
        <v>0</v>
      </c>
      <c r="G97" s="29">
        <v>-165.21593529960313</v>
      </c>
      <c r="H97" s="29">
        <v>260</v>
      </c>
      <c r="I97" s="29">
        <v>0</v>
      </c>
      <c r="J97" s="29">
        <v>16.235399936545775</v>
      </c>
      <c r="K97" s="29">
        <v>0</v>
      </c>
      <c r="L97" s="29">
        <v>277.7904036880019</v>
      </c>
      <c r="M97" s="29">
        <v>-325.01052759163105</v>
      </c>
      <c r="N97">
        <f t="shared" ref="N97:N119" si="23">-K97</f>
        <v>0</v>
      </c>
      <c r="O97" s="29">
        <v>-277.7904036880019</v>
      </c>
      <c r="P97" s="29">
        <v>260</v>
      </c>
      <c r="Q97" s="29">
        <v>0</v>
      </c>
      <c r="R97" s="29">
        <v>65.01052759163106</v>
      </c>
      <c r="S97" s="29">
        <v>0</v>
      </c>
      <c r="T97" s="29">
        <v>392.64404030542715</v>
      </c>
      <c r="U97" s="29">
        <v>-260</v>
      </c>
      <c r="V97" s="29">
        <v>0</v>
      </c>
      <c r="W97" s="29">
        <v>-390</v>
      </c>
      <c r="X97" s="29">
        <v>260</v>
      </c>
      <c r="Y97" s="29">
        <v>0</v>
      </c>
      <c r="Z97" s="29">
        <v>0</v>
      </c>
      <c r="AA97" s="29">
        <v>-2.6440403054271542</v>
      </c>
    </row>
    <row r="98" spans="3:27" x14ac:dyDescent="0.25">
      <c r="C98" t="s">
        <v>2</v>
      </c>
      <c r="D98" s="29">
        <v>163.88693820434932</v>
      </c>
      <c r="E98" s="29">
        <v>-273.1982085409731</v>
      </c>
      <c r="F98" s="29">
        <v>0</v>
      </c>
      <c r="G98" s="29">
        <v>-163.88693820434932</v>
      </c>
      <c r="H98" s="29">
        <v>260</v>
      </c>
      <c r="I98" s="29">
        <v>0</v>
      </c>
      <c r="J98" s="29">
        <v>13.198208540973095</v>
      </c>
      <c r="K98" s="29">
        <v>0</v>
      </c>
      <c r="L98" s="29">
        <v>276.43269992849781</v>
      </c>
      <c r="M98" s="29">
        <v>-325.18548304723618</v>
      </c>
      <c r="N98">
        <f t="shared" si="23"/>
        <v>0</v>
      </c>
      <c r="O98" s="29">
        <v>-276.43269992849781</v>
      </c>
      <c r="P98" s="29">
        <v>260</v>
      </c>
      <c r="Q98" s="29">
        <v>0</v>
      </c>
      <c r="R98" s="29">
        <v>65.185483047236175</v>
      </c>
      <c r="S98" s="29">
        <v>0</v>
      </c>
      <c r="T98" s="29">
        <v>392.46028677325722</v>
      </c>
      <c r="U98" s="29">
        <v>-260</v>
      </c>
      <c r="V98" s="29">
        <v>0</v>
      </c>
      <c r="W98" s="29">
        <v>-390</v>
      </c>
      <c r="X98" s="29">
        <v>260</v>
      </c>
      <c r="Y98" s="29">
        <v>0</v>
      </c>
      <c r="Z98" s="29">
        <v>0</v>
      </c>
      <c r="AA98" s="29">
        <v>-2.4602867732572236</v>
      </c>
    </row>
    <row r="99" spans="3:27" x14ac:dyDescent="0.25">
      <c r="C99" t="s">
        <v>3</v>
      </c>
      <c r="D99" s="29">
        <v>127.48273986154265</v>
      </c>
      <c r="E99" s="29">
        <v>-127.59947695794176</v>
      </c>
      <c r="F99" s="29">
        <v>0</v>
      </c>
      <c r="G99" s="29">
        <v>-86.624605101073428</v>
      </c>
      <c r="H99" s="29">
        <v>127.59947695794176</v>
      </c>
      <c r="I99" s="29">
        <v>0</v>
      </c>
      <c r="J99" s="29">
        <v>0</v>
      </c>
      <c r="K99" s="29">
        <v>-40.858134760469227</v>
      </c>
      <c r="L99" s="29">
        <v>169.67834005499475</v>
      </c>
      <c r="M99" s="29">
        <v>-219.84636332502083</v>
      </c>
      <c r="N99">
        <f t="shared" si="23"/>
        <v>40.858134760469227</v>
      </c>
      <c r="O99" s="29">
        <v>-169.67834005499475</v>
      </c>
      <c r="P99" s="29">
        <v>84.468628336086368</v>
      </c>
      <c r="Q99" s="29">
        <v>0</v>
      </c>
      <c r="R99" s="29">
        <v>135.37773498893446</v>
      </c>
      <c r="S99" s="29">
        <v>0</v>
      </c>
      <c r="T99" s="29">
        <v>320.45031084543723</v>
      </c>
      <c r="U99" s="29">
        <v>-301.31999184818079</v>
      </c>
      <c r="V99" s="29">
        <v>0</v>
      </c>
      <c r="W99" s="29">
        <v>-320.45031084543723</v>
      </c>
      <c r="X99" s="29">
        <v>260</v>
      </c>
      <c r="Y99" s="29">
        <v>0</v>
      </c>
      <c r="Z99" s="29">
        <v>41.319991848180791</v>
      </c>
      <c r="AA99" s="29">
        <v>0</v>
      </c>
    </row>
    <row r="100" spans="3:27" x14ac:dyDescent="0.25">
      <c r="C100" t="s">
        <v>4</v>
      </c>
      <c r="D100" s="29">
        <v>104.56848269378429</v>
      </c>
      <c r="E100" s="29">
        <v>-219.27028600376605</v>
      </c>
      <c r="F100" s="29">
        <v>0</v>
      </c>
      <c r="G100" s="29">
        <v>-104.56848269378429</v>
      </c>
      <c r="H100" s="29">
        <v>155.0554898845138</v>
      </c>
      <c r="I100" s="29">
        <v>0</v>
      </c>
      <c r="J100" s="29">
        <v>64.214796119252242</v>
      </c>
      <c r="K100" s="29">
        <v>0</v>
      </c>
      <c r="L100" s="29">
        <v>172.1132747075109</v>
      </c>
      <c r="M100" s="29">
        <v>-163.74252601466</v>
      </c>
      <c r="N100">
        <f t="shared" si="23"/>
        <v>0</v>
      </c>
      <c r="O100" s="29">
        <v>-172.1132747075109</v>
      </c>
      <c r="P100" s="29">
        <v>82.36682599035916</v>
      </c>
      <c r="Q100" s="29">
        <v>0</v>
      </c>
      <c r="R100" s="29">
        <v>81.375700024300841</v>
      </c>
      <c r="S100" s="29">
        <v>0</v>
      </c>
      <c r="T100" s="29">
        <v>160.35418980417734</v>
      </c>
      <c r="U100" s="29">
        <v>-6.4136577492611195</v>
      </c>
      <c r="V100" s="29">
        <v>0</v>
      </c>
      <c r="W100" s="29">
        <v>-99.4002017708371</v>
      </c>
      <c r="X100" s="29">
        <v>0</v>
      </c>
      <c r="Y100" s="29">
        <v>-60.953988033340238</v>
      </c>
      <c r="Z100" s="29">
        <v>6.4136577492611195</v>
      </c>
      <c r="AA100" s="29">
        <v>0</v>
      </c>
    </row>
    <row r="101" spans="3:27" x14ac:dyDescent="0.25">
      <c r="C101" t="s">
        <v>5</v>
      </c>
      <c r="D101" s="29">
        <v>124.12631737011452</v>
      </c>
      <c r="E101" s="29">
        <v>-165</v>
      </c>
      <c r="F101" s="29">
        <v>0</v>
      </c>
      <c r="G101" s="29">
        <v>-100.41035270007259</v>
      </c>
      <c r="H101" s="29">
        <v>0</v>
      </c>
      <c r="I101" s="29">
        <v>-23.715964670041931</v>
      </c>
      <c r="J101" s="29">
        <v>165</v>
      </c>
      <c r="K101" s="29">
        <v>0</v>
      </c>
      <c r="L101" s="29">
        <v>328.5041468400417</v>
      </c>
      <c r="M101" s="29">
        <v>-165</v>
      </c>
      <c r="N101">
        <f t="shared" si="23"/>
        <v>0</v>
      </c>
      <c r="O101" s="29">
        <v>-68.504146840041727</v>
      </c>
      <c r="P101" s="29">
        <v>0</v>
      </c>
      <c r="Q101" s="29">
        <v>-260</v>
      </c>
      <c r="R101" s="29">
        <v>165</v>
      </c>
      <c r="S101" s="29">
        <v>0</v>
      </c>
      <c r="T101" s="29">
        <v>237.16449159920577</v>
      </c>
      <c r="U101" s="29">
        <v>-164.82540279898848</v>
      </c>
      <c r="V101" s="29">
        <v>0</v>
      </c>
      <c r="W101" s="29">
        <v>-193.79278212304393</v>
      </c>
      <c r="X101" s="29">
        <v>0</v>
      </c>
      <c r="Y101" s="29">
        <v>-43.371709476161847</v>
      </c>
      <c r="Z101" s="29">
        <v>164.82540279898848</v>
      </c>
      <c r="AA101" s="29">
        <v>0</v>
      </c>
    </row>
    <row r="102" spans="3:27" x14ac:dyDescent="0.25">
      <c r="C102" t="s">
        <v>6</v>
      </c>
      <c r="D102" s="29">
        <v>132.11540005004008</v>
      </c>
      <c r="E102" s="29">
        <v>-165</v>
      </c>
      <c r="F102" s="29">
        <v>0</v>
      </c>
      <c r="G102" s="29">
        <v>-93.702448636097898</v>
      </c>
      <c r="H102" s="29">
        <v>0</v>
      </c>
      <c r="I102" s="29">
        <v>-38.412951413942181</v>
      </c>
      <c r="J102" s="29">
        <v>165</v>
      </c>
      <c r="K102" s="29">
        <v>0</v>
      </c>
      <c r="L102" s="29">
        <v>319.39535426055568</v>
      </c>
      <c r="M102" s="29">
        <v>-165</v>
      </c>
      <c r="N102">
        <f t="shared" si="23"/>
        <v>0</v>
      </c>
      <c r="O102" s="29">
        <v>-59.395354260555656</v>
      </c>
      <c r="P102" s="29">
        <v>0</v>
      </c>
      <c r="Q102" s="29">
        <v>-260</v>
      </c>
      <c r="R102" s="29">
        <v>165</v>
      </c>
      <c r="S102" s="29">
        <v>0</v>
      </c>
      <c r="T102" s="29">
        <v>255.24880422634547</v>
      </c>
      <c r="U102" s="29">
        <v>-165</v>
      </c>
      <c r="V102" s="29">
        <v>0</v>
      </c>
      <c r="W102" s="29">
        <v>-183.7961108248947</v>
      </c>
      <c r="X102" s="29">
        <v>0</v>
      </c>
      <c r="Y102" s="29">
        <v>-71.452693401450773</v>
      </c>
      <c r="Z102" s="29">
        <v>165</v>
      </c>
      <c r="AA102" s="29">
        <v>0</v>
      </c>
    </row>
    <row r="103" spans="3:27" x14ac:dyDescent="0.25">
      <c r="C103" t="s">
        <v>7</v>
      </c>
      <c r="D103" s="29">
        <v>146.33854029140772</v>
      </c>
      <c r="E103" s="29">
        <v>-238.81093593601108</v>
      </c>
      <c r="F103" s="29">
        <v>0</v>
      </c>
      <c r="G103" s="29">
        <v>-146.33854029140772</v>
      </c>
      <c r="H103" s="29">
        <v>139.20854688347822</v>
      </c>
      <c r="I103" s="29">
        <v>0</v>
      </c>
      <c r="J103" s="29">
        <v>99.602389052532857</v>
      </c>
      <c r="K103" s="29">
        <v>0</v>
      </c>
      <c r="L103" s="29">
        <v>186.80623463547857</v>
      </c>
      <c r="M103" s="29">
        <v>-127.52273568002829</v>
      </c>
      <c r="N103">
        <f t="shared" si="23"/>
        <v>0</v>
      </c>
      <c r="O103" s="29">
        <v>-146.70477363085456</v>
      </c>
      <c r="P103" s="29">
        <v>0</v>
      </c>
      <c r="Q103" s="29">
        <v>-40.101461004624014</v>
      </c>
      <c r="R103" s="29">
        <v>127.52273568002829</v>
      </c>
      <c r="S103" s="29">
        <v>0</v>
      </c>
      <c r="T103" s="29">
        <v>143.24832549950892</v>
      </c>
      <c r="U103" s="29">
        <v>-193.24747502566532</v>
      </c>
      <c r="V103" s="29">
        <v>0</v>
      </c>
      <c r="W103" s="29">
        <v>-143.24832549950892</v>
      </c>
      <c r="X103" s="29">
        <v>137.37530201904292</v>
      </c>
      <c r="Y103" s="29">
        <v>0</v>
      </c>
      <c r="Z103" s="29">
        <v>55.87217300662239</v>
      </c>
      <c r="AA103" s="29">
        <v>0</v>
      </c>
    </row>
    <row r="104" spans="3:27" x14ac:dyDescent="0.25">
      <c r="C104" t="s">
        <v>8</v>
      </c>
      <c r="D104" s="29">
        <v>198.27240152495094</v>
      </c>
      <c r="E104" s="29">
        <v>-217.42957933098523</v>
      </c>
      <c r="F104" s="29">
        <v>0</v>
      </c>
      <c r="G104" s="29">
        <v>-80.265180952197738</v>
      </c>
      <c r="H104" s="29">
        <v>217.42957933098523</v>
      </c>
      <c r="I104" s="29">
        <v>0</v>
      </c>
      <c r="J104" s="29">
        <v>0</v>
      </c>
      <c r="K104" s="29">
        <v>-118.0072205727532</v>
      </c>
      <c r="L104" s="29">
        <v>246.39695763731112</v>
      </c>
      <c r="M104" s="29">
        <v>-260</v>
      </c>
      <c r="N104">
        <f t="shared" si="23"/>
        <v>118.0072205727532</v>
      </c>
      <c r="O104" s="29">
        <v>-88.49974098666722</v>
      </c>
      <c r="P104" s="29">
        <v>260</v>
      </c>
      <c r="Q104" s="29">
        <v>0</v>
      </c>
      <c r="R104" s="29">
        <v>0</v>
      </c>
      <c r="S104" s="29">
        <v>-157.89721665064388</v>
      </c>
      <c r="T104" s="29">
        <v>247.00694920734338</v>
      </c>
      <c r="U104" s="29">
        <v>-286.50073190159361</v>
      </c>
      <c r="V104" s="29">
        <v>0</v>
      </c>
      <c r="W104" s="29">
        <v>-247.00694920734338</v>
      </c>
      <c r="X104" s="29">
        <v>183.97633584711505</v>
      </c>
      <c r="Y104" s="29">
        <v>0</v>
      </c>
      <c r="Z104" s="29">
        <v>102.52439605447854</v>
      </c>
      <c r="AA104" s="29">
        <v>0</v>
      </c>
    </row>
    <row r="105" spans="3:27" x14ac:dyDescent="0.25">
      <c r="C105" t="s">
        <v>9</v>
      </c>
      <c r="D105" s="29">
        <v>179.96042933495539</v>
      </c>
      <c r="E105" s="29">
        <v>-180.91420098039907</v>
      </c>
      <c r="F105" s="29">
        <v>0</v>
      </c>
      <c r="G105" s="29">
        <v>-14.960429334955393</v>
      </c>
      <c r="H105" s="29">
        <v>180.91420098039907</v>
      </c>
      <c r="I105" s="29">
        <v>0</v>
      </c>
      <c r="J105" s="29">
        <v>0</v>
      </c>
      <c r="K105" s="29">
        <v>-165</v>
      </c>
      <c r="L105" s="29">
        <v>257.03966751007209</v>
      </c>
      <c r="M105" s="29">
        <v>-205.46460324602549</v>
      </c>
      <c r="N105">
        <f t="shared" si="23"/>
        <v>165</v>
      </c>
      <c r="O105" s="29">
        <v>-92.039667510072078</v>
      </c>
      <c r="P105" s="29">
        <v>205.46460324602549</v>
      </c>
      <c r="Q105" s="29">
        <v>0</v>
      </c>
      <c r="R105" s="29">
        <v>0</v>
      </c>
      <c r="S105" s="29">
        <v>-165</v>
      </c>
      <c r="T105" s="29">
        <v>285.3182531837104</v>
      </c>
      <c r="U105" s="29">
        <v>-195.55842285591783</v>
      </c>
      <c r="V105" s="29">
        <v>0</v>
      </c>
      <c r="W105" s="29">
        <v>-251.29544463051792</v>
      </c>
      <c r="X105" s="29">
        <v>195.55842285591783</v>
      </c>
      <c r="Y105" s="29">
        <v>0</v>
      </c>
      <c r="Z105" s="29">
        <v>0</v>
      </c>
      <c r="AA105" s="29">
        <v>-34.022808553192469</v>
      </c>
    </row>
    <row r="106" spans="3:27" x14ac:dyDescent="0.25">
      <c r="C106" t="s">
        <v>10</v>
      </c>
      <c r="D106" s="29">
        <v>165</v>
      </c>
      <c r="E106" s="29">
        <v>-161.7670940900037</v>
      </c>
      <c r="F106" s="29">
        <v>0</v>
      </c>
      <c r="G106" s="29">
        <v>0</v>
      </c>
      <c r="H106" s="29">
        <v>148.04854331487928</v>
      </c>
      <c r="I106" s="29">
        <v>0</v>
      </c>
      <c r="J106" s="29">
        <v>0</v>
      </c>
      <c r="K106" s="29">
        <v>-165</v>
      </c>
      <c r="L106" s="29">
        <v>256.47305319291496</v>
      </c>
      <c r="M106" s="29">
        <v>-132.46569425167698</v>
      </c>
      <c r="N106">
        <f t="shared" si="23"/>
        <v>165</v>
      </c>
      <c r="O106" s="29">
        <v>-91.473053192914961</v>
      </c>
      <c r="P106" s="29">
        <v>132.46569425167698</v>
      </c>
      <c r="Q106" s="29">
        <v>0</v>
      </c>
      <c r="R106" s="29">
        <v>0</v>
      </c>
      <c r="S106" s="29">
        <v>-165</v>
      </c>
      <c r="T106" s="29">
        <v>284.9934405616994</v>
      </c>
      <c r="U106" s="29">
        <v>-196.4582385812098</v>
      </c>
      <c r="V106" s="29">
        <v>0</v>
      </c>
      <c r="W106" s="29">
        <v>-250.69066004322525</v>
      </c>
      <c r="X106" s="29">
        <v>196.4582385812098</v>
      </c>
      <c r="Y106" s="29">
        <v>0</v>
      </c>
      <c r="Z106" s="29">
        <v>0</v>
      </c>
      <c r="AA106" s="29">
        <v>-34.302780518474151</v>
      </c>
    </row>
    <row r="107" spans="3:27" x14ac:dyDescent="0.25">
      <c r="C107" t="s">
        <v>11</v>
      </c>
      <c r="D107" s="29">
        <v>183.83519008586472</v>
      </c>
      <c r="E107" s="29">
        <v>-135.09294937962579</v>
      </c>
      <c r="F107" s="29">
        <v>0</v>
      </c>
      <c r="G107" s="29">
        <v>-64.680305345507534</v>
      </c>
      <c r="H107" s="29">
        <v>135.09294937962579</v>
      </c>
      <c r="I107" s="29">
        <v>0</v>
      </c>
      <c r="J107" s="29">
        <v>0</v>
      </c>
      <c r="K107" s="29">
        <v>-119.15488474035719</v>
      </c>
      <c r="L107" s="29">
        <v>167.36248079094088</v>
      </c>
      <c r="M107" s="29">
        <v>-211.41902420076295</v>
      </c>
      <c r="N107">
        <f t="shared" si="23"/>
        <v>119.15488474035719</v>
      </c>
      <c r="O107" s="29">
        <v>-167.36248079094088</v>
      </c>
      <c r="P107" s="29">
        <v>149.67877066897503</v>
      </c>
      <c r="Q107" s="29">
        <v>0</v>
      </c>
      <c r="R107" s="29">
        <v>61.740253531787914</v>
      </c>
      <c r="S107" s="29">
        <v>0</v>
      </c>
      <c r="T107" s="29">
        <v>359.43585624360674</v>
      </c>
      <c r="U107" s="29">
        <v>-230.48026268515818</v>
      </c>
      <c r="V107" s="29">
        <v>0</v>
      </c>
      <c r="W107" s="29">
        <v>-324.46789662196738</v>
      </c>
      <c r="X107" s="29">
        <v>230.48026268515818</v>
      </c>
      <c r="Y107" s="29">
        <v>0</v>
      </c>
      <c r="Z107" s="29">
        <v>0</v>
      </c>
      <c r="AA107" s="29">
        <v>-34.967959621639366</v>
      </c>
    </row>
    <row r="108" spans="3:27" x14ac:dyDescent="0.25">
      <c r="C108" t="s">
        <v>12</v>
      </c>
      <c r="D108" s="29">
        <v>165</v>
      </c>
      <c r="E108" s="29">
        <v>-97.36782777807673</v>
      </c>
      <c r="F108" s="29">
        <v>0</v>
      </c>
      <c r="G108" s="29">
        <v>0</v>
      </c>
      <c r="H108" s="29">
        <v>86.243314992513206</v>
      </c>
      <c r="I108" s="29">
        <v>0</v>
      </c>
      <c r="J108" s="29">
        <v>0</v>
      </c>
      <c r="K108" s="29">
        <v>-165</v>
      </c>
      <c r="L108" s="29">
        <v>101.4329010217416</v>
      </c>
      <c r="M108" s="29">
        <v>-65.048032360376013</v>
      </c>
      <c r="N108">
        <f t="shared" si="23"/>
        <v>165</v>
      </c>
      <c r="O108" s="29">
        <v>-101.4329010217416</v>
      </c>
      <c r="P108" s="29">
        <v>11.009789148184952</v>
      </c>
      <c r="Q108" s="29">
        <v>0</v>
      </c>
      <c r="R108" s="29">
        <v>54.038243212191063</v>
      </c>
      <c r="S108" s="29">
        <v>0</v>
      </c>
      <c r="T108" s="29">
        <v>289.22893209787782</v>
      </c>
      <c r="U108" s="29">
        <v>-260</v>
      </c>
      <c r="V108" s="29">
        <v>0</v>
      </c>
      <c r="W108" s="29">
        <v>-264.49482180640439</v>
      </c>
      <c r="X108" s="29">
        <v>260</v>
      </c>
      <c r="Y108" s="29">
        <v>0</v>
      </c>
      <c r="Z108" s="29">
        <v>0</v>
      </c>
      <c r="AA108" s="29">
        <v>-24.734110291473435</v>
      </c>
    </row>
    <row r="109" spans="3:27" x14ac:dyDescent="0.25">
      <c r="C109" t="s">
        <v>13</v>
      </c>
      <c r="D109" s="29">
        <v>165</v>
      </c>
      <c r="E109" s="29">
        <v>-98.706984818686308</v>
      </c>
      <c r="F109" s="29">
        <v>0</v>
      </c>
      <c r="G109" s="29">
        <v>0</v>
      </c>
      <c r="H109" s="29">
        <v>96.558624323248083</v>
      </c>
      <c r="I109" s="29">
        <v>0</v>
      </c>
      <c r="J109" s="29">
        <v>0</v>
      </c>
      <c r="K109" s="29">
        <v>-165</v>
      </c>
      <c r="L109" s="29">
        <v>108.87126707540801</v>
      </c>
      <c r="M109" s="29">
        <v>-88.592842077528559</v>
      </c>
      <c r="N109">
        <f t="shared" si="23"/>
        <v>165</v>
      </c>
      <c r="O109" s="29">
        <v>-108.87126707540801</v>
      </c>
      <c r="P109" s="29">
        <v>22.850658057743665</v>
      </c>
      <c r="Q109" s="29">
        <v>0</v>
      </c>
      <c r="R109" s="29">
        <v>65.742184019784887</v>
      </c>
      <c r="S109" s="29">
        <v>0</v>
      </c>
      <c r="T109" s="29">
        <v>292.80403889685493</v>
      </c>
      <c r="U109" s="29">
        <v>-260</v>
      </c>
      <c r="V109" s="29">
        <v>0</v>
      </c>
      <c r="W109" s="29">
        <v>-270.66547607287174</v>
      </c>
      <c r="X109" s="29">
        <v>260</v>
      </c>
      <c r="Y109" s="29">
        <v>0</v>
      </c>
      <c r="Z109" s="29">
        <v>0</v>
      </c>
      <c r="AA109" s="29">
        <v>-22.138562823983193</v>
      </c>
    </row>
    <row r="110" spans="3:27" x14ac:dyDescent="0.25">
      <c r="C110" t="s">
        <v>14</v>
      </c>
      <c r="D110" s="29">
        <v>165</v>
      </c>
      <c r="E110" s="29">
        <v>-94.072920665619989</v>
      </c>
      <c r="F110" s="29">
        <v>0</v>
      </c>
      <c r="G110" s="29">
        <v>0</v>
      </c>
      <c r="H110" s="29">
        <v>92.396867246245193</v>
      </c>
      <c r="I110" s="29">
        <v>0</v>
      </c>
      <c r="J110" s="29">
        <v>0</v>
      </c>
      <c r="K110" s="29">
        <v>-165</v>
      </c>
      <c r="L110" s="29">
        <v>106.28289210291575</v>
      </c>
      <c r="M110" s="29">
        <v>-83.727730106777855</v>
      </c>
      <c r="N110">
        <f t="shared" si="23"/>
        <v>165</v>
      </c>
      <c r="O110" s="29">
        <v>-106.28289210291575</v>
      </c>
      <c r="P110" s="29">
        <v>17.126010921638002</v>
      </c>
      <c r="Q110" s="29">
        <v>0</v>
      </c>
      <c r="R110" s="29">
        <v>66.601719185139856</v>
      </c>
      <c r="S110" s="29">
        <v>0</v>
      </c>
      <c r="T110" s="29">
        <v>287.18884883147439</v>
      </c>
      <c r="U110" s="29">
        <v>-260</v>
      </c>
      <c r="V110" s="29">
        <v>0</v>
      </c>
      <c r="W110" s="29">
        <v>-266.03240632238465</v>
      </c>
      <c r="X110" s="29">
        <v>260</v>
      </c>
      <c r="Y110" s="29">
        <v>0</v>
      </c>
      <c r="Z110" s="29">
        <v>0</v>
      </c>
      <c r="AA110" s="29">
        <v>-21.156442509089743</v>
      </c>
    </row>
    <row r="111" spans="3:27" x14ac:dyDescent="0.25">
      <c r="C111" t="s">
        <v>15</v>
      </c>
      <c r="D111" s="29">
        <v>146.36633153944132</v>
      </c>
      <c r="E111" s="29">
        <v>-118.71606227255876</v>
      </c>
      <c r="F111" s="29">
        <v>0</v>
      </c>
      <c r="G111" s="29">
        <v>0</v>
      </c>
      <c r="H111" s="29">
        <v>73.27828586375675</v>
      </c>
      <c r="I111" s="29">
        <v>0</v>
      </c>
      <c r="J111" s="29">
        <v>0</v>
      </c>
      <c r="K111" s="29">
        <v>-146.36633153944132</v>
      </c>
      <c r="L111" s="29">
        <v>163.53539980200463</v>
      </c>
      <c r="M111" s="29">
        <v>0</v>
      </c>
      <c r="N111">
        <f t="shared" si="23"/>
        <v>146.36633153944132</v>
      </c>
      <c r="O111" s="29">
        <v>-26.112717546056501</v>
      </c>
      <c r="P111" s="29">
        <v>0</v>
      </c>
      <c r="Q111" s="29">
        <v>-12.76216810852509</v>
      </c>
      <c r="R111" s="29">
        <v>0</v>
      </c>
      <c r="S111" s="29">
        <v>-124.66051414742306</v>
      </c>
      <c r="T111" s="29">
        <v>309.01788719848275</v>
      </c>
      <c r="U111" s="29">
        <v>-260</v>
      </c>
      <c r="V111" s="29">
        <v>0</v>
      </c>
      <c r="W111" s="29">
        <v>-175.60165418947904</v>
      </c>
      <c r="X111" s="29">
        <v>260</v>
      </c>
      <c r="Y111" s="29">
        <v>0</v>
      </c>
      <c r="Z111" s="29">
        <v>0</v>
      </c>
      <c r="AA111" s="29">
        <v>-133.41623300900372</v>
      </c>
    </row>
    <row r="112" spans="3:27" x14ac:dyDescent="0.25">
      <c r="C112" t="s">
        <v>16</v>
      </c>
      <c r="D112" s="29">
        <v>17.674550285532352</v>
      </c>
      <c r="E112" s="29">
        <v>-133.12581244076233</v>
      </c>
      <c r="F112" s="29">
        <v>0</v>
      </c>
      <c r="G112" s="29">
        <v>-17.674550285532352</v>
      </c>
      <c r="H112" s="29">
        <v>69.76725631381457</v>
      </c>
      <c r="I112" s="29">
        <v>0</v>
      </c>
      <c r="J112" s="29">
        <v>63.358556126947747</v>
      </c>
      <c r="K112" s="29">
        <v>0</v>
      </c>
      <c r="L112" s="29">
        <v>174.86683691046477</v>
      </c>
      <c r="M112" s="29">
        <v>-119.20136912670451</v>
      </c>
      <c r="N112">
        <f t="shared" si="23"/>
        <v>0</v>
      </c>
      <c r="O112" s="29">
        <v>-174.86683691046477</v>
      </c>
      <c r="P112" s="29">
        <v>38.592121539149502</v>
      </c>
      <c r="Q112" s="29">
        <v>0</v>
      </c>
      <c r="R112" s="29">
        <v>80.609247587555004</v>
      </c>
      <c r="S112" s="29">
        <v>0</v>
      </c>
      <c r="T112" s="29">
        <v>254.72555423154819</v>
      </c>
      <c r="U112" s="29">
        <v>-7.6821126853056398</v>
      </c>
      <c r="V112" s="29">
        <v>0</v>
      </c>
      <c r="W112" s="29">
        <v>-86.696456641130169</v>
      </c>
      <c r="X112" s="29">
        <v>0</v>
      </c>
      <c r="Y112" s="29">
        <v>-168.02909759041802</v>
      </c>
      <c r="Z112" s="29">
        <v>7.6821126853056398</v>
      </c>
      <c r="AA112" s="29">
        <v>0</v>
      </c>
    </row>
    <row r="113" spans="3:27" x14ac:dyDescent="0.25">
      <c r="C113" t="s">
        <v>17</v>
      </c>
      <c r="D113" s="29">
        <v>116.43410894888186</v>
      </c>
      <c r="E113" s="29">
        <v>-165</v>
      </c>
      <c r="F113" s="29">
        <v>0</v>
      </c>
      <c r="G113" s="29">
        <v>-110.6914485641862</v>
      </c>
      <c r="H113" s="29">
        <v>0</v>
      </c>
      <c r="I113" s="29">
        <v>-5.7426603846956557</v>
      </c>
      <c r="J113" s="29">
        <v>165</v>
      </c>
      <c r="K113" s="29">
        <v>0</v>
      </c>
      <c r="L113" s="29">
        <v>331.26510242320973</v>
      </c>
      <c r="M113" s="29">
        <v>-165</v>
      </c>
      <c r="N113">
        <f t="shared" si="23"/>
        <v>0</v>
      </c>
      <c r="O113" s="29">
        <v>-82.30290151323355</v>
      </c>
      <c r="P113" s="29">
        <v>0</v>
      </c>
      <c r="Q113" s="29">
        <v>-248.96220090997616</v>
      </c>
      <c r="R113" s="29">
        <v>165</v>
      </c>
      <c r="S113" s="29">
        <v>0</v>
      </c>
      <c r="T113" s="29">
        <v>216.66865588956429</v>
      </c>
      <c r="U113" s="29">
        <v>-161.44124377933937</v>
      </c>
      <c r="V113" s="29">
        <v>0</v>
      </c>
      <c r="W113" s="29">
        <v>-97.057420296531149</v>
      </c>
      <c r="X113" s="29">
        <v>0</v>
      </c>
      <c r="Y113" s="29">
        <v>-119.61123559303314</v>
      </c>
      <c r="Z113" s="29">
        <v>161.44124377933937</v>
      </c>
      <c r="AA113" s="29">
        <v>0</v>
      </c>
    </row>
    <row r="114" spans="3:27" x14ac:dyDescent="0.25">
      <c r="C114" t="s">
        <v>18</v>
      </c>
      <c r="D114" s="29">
        <v>114.11151484924221</v>
      </c>
      <c r="E114" s="29">
        <v>-165</v>
      </c>
      <c r="F114" s="29">
        <v>0</v>
      </c>
      <c r="G114" s="29">
        <v>-112.84114979453497</v>
      </c>
      <c r="H114" s="29">
        <v>0</v>
      </c>
      <c r="I114" s="29">
        <v>-1.2703650547072418</v>
      </c>
      <c r="J114" s="29">
        <v>165</v>
      </c>
      <c r="K114" s="29">
        <v>0</v>
      </c>
      <c r="L114" s="29">
        <v>309.68678954155422</v>
      </c>
      <c r="M114" s="29">
        <v>-165</v>
      </c>
      <c r="N114">
        <f t="shared" si="23"/>
        <v>0</v>
      </c>
      <c r="O114" s="29">
        <v>-88.039155721438036</v>
      </c>
      <c r="P114" s="29">
        <v>0</v>
      </c>
      <c r="Q114" s="29">
        <v>-221.6476338201162</v>
      </c>
      <c r="R114" s="29">
        <v>165</v>
      </c>
      <c r="S114" s="29">
        <v>0</v>
      </c>
      <c r="T114" s="29">
        <v>185.66201365850469</v>
      </c>
      <c r="U114" s="29">
        <v>-137.92823469030631</v>
      </c>
      <c r="V114" s="29">
        <v>0</v>
      </c>
      <c r="W114" s="29">
        <v>-152.11755024659357</v>
      </c>
      <c r="X114" s="29">
        <v>0</v>
      </c>
      <c r="Y114" s="29">
        <v>-33.544463411911117</v>
      </c>
      <c r="Z114" s="29">
        <v>137.92823469030631</v>
      </c>
      <c r="AA114" s="29">
        <v>0</v>
      </c>
    </row>
    <row r="115" spans="3:27" x14ac:dyDescent="0.25">
      <c r="C115" t="s">
        <v>19</v>
      </c>
      <c r="D115" s="29">
        <v>159.03803245378407</v>
      </c>
      <c r="E115" s="29">
        <v>-261.83383050911846</v>
      </c>
      <c r="F115" s="29">
        <v>0</v>
      </c>
      <c r="G115" s="29">
        <v>-159.03803245378407</v>
      </c>
      <c r="H115" s="29">
        <v>175.4800187320138</v>
      </c>
      <c r="I115" s="29">
        <v>0</v>
      </c>
      <c r="J115" s="29">
        <v>86.353811777104653</v>
      </c>
      <c r="K115" s="29">
        <v>0</v>
      </c>
      <c r="L115" s="29">
        <v>164.41967991025911</v>
      </c>
      <c r="M115" s="29">
        <v>-128.63385689185932</v>
      </c>
      <c r="N115">
        <f t="shared" si="23"/>
        <v>0</v>
      </c>
      <c r="O115" s="29">
        <v>-164.41967991025911</v>
      </c>
      <c r="P115" s="29">
        <v>23.87944737125957</v>
      </c>
      <c r="Q115" s="29">
        <v>0</v>
      </c>
      <c r="R115" s="29">
        <v>104.75440952059975</v>
      </c>
      <c r="S115" s="29">
        <v>0</v>
      </c>
      <c r="T115" s="29">
        <v>138.1368408265796</v>
      </c>
      <c r="U115" s="29">
        <v>-54.926716673730077</v>
      </c>
      <c r="V115" s="29">
        <v>0</v>
      </c>
      <c r="W115" s="29">
        <v>-138.1368408265796</v>
      </c>
      <c r="X115" s="29">
        <v>34.738899388614179</v>
      </c>
      <c r="Y115" s="29">
        <v>0</v>
      </c>
      <c r="Z115" s="29">
        <v>20.187817285115898</v>
      </c>
      <c r="AA115" s="29">
        <v>0</v>
      </c>
    </row>
    <row r="116" spans="3:27" x14ac:dyDescent="0.25">
      <c r="C116" t="s">
        <v>20</v>
      </c>
      <c r="D116" s="29">
        <v>156.34473362162532</v>
      </c>
      <c r="E116" s="29">
        <v>-116.11324472707497</v>
      </c>
      <c r="F116" s="29">
        <v>0</v>
      </c>
      <c r="G116" s="29">
        <v>-43.64814119180636</v>
      </c>
      <c r="H116" s="29">
        <v>116.11324472707497</v>
      </c>
      <c r="I116" s="29">
        <v>0</v>
      </c>
      <c r="J116" s="29">
        <v>0</v>
      </c>
      <c r="K116" s="29">
        <v>-112.69659242981898</v>
      </c>
      <c r="L116" s="29">
        <v>220.76788212278447</v>
      </c>
      <c r="M116" s="29">
        <v>-193.90791087470643</v>
      </c>
      <c r="N116">
        <f t="shared" si="23"/>
        <v>112.69659242981898</v>
      </c>
      <c r="O116" s="29">
        <v>-74.250685277594926</v>
      </c>
      <c r="P116" s="29">
        <v>193.90791087470643</v>
      </c>
      <c r="Q116" s="29">
        <v>0</v>
      </c>
      <c r="R116" s="29">
        <v>0</v>
      </c>
      <c r="S116" s="29">
        <v>-146.51719684518955</v>
      </c>
      <c r="T116" s="29">
        <v>288.3784518834035</v>
      </c>
      <c r="U116" s="29">
        <v>-67.831083017963252</v>
      </c>
      <c r="V116" s="29">
        <v>0</v>
      </c>
      <c r="W116" s="29">
        <v>-171.90609405604184</v>
      </c>
      <c r="X116" s="29">
        <v>67.831083017963252</v>
      </c>
      <c r="Y116" s="29">
        <v>0</v>
      </c>
      <c r="Z116" s="29">
        <v>0</v>
      </c>
      <c r="AA116" s="29">
        <v>-116.47235782736163</v>
      </c>
    </row>
    <row r="117" spans="3:27" x14ac:dyDescent="0.25">
      <c r="C117" t="s">
        <v>21</v>
      </c>
      <c r="D117" s="29">
        <v>165</v>
      </c>
      <c r="E117" s="29">
        <v>-75.833504721449458</v>
      </c>
      <c r="F117" s="29">
        <v>0</v>
      </c>
      <c r="G117" s="29">
        <v>0</v>
      </c>
      <c r="H117" s="29">
        <v>54.52293909952607</v>
      </c>
      <c r="I117" s="29">
        <v>0</v>
      </c>
      <c r="J117" s="29">
        <v>0</v>
      </c>
      <c r="K117" s="29">
        <v>-165</v>
      </c>
      <c r="L117" s="29">
        <v>247.50025690666615</v>
      </c>
      <c r="M117" s="29">
        <v>-87.410559842099133</v>
      </c>
      <c r="N117">
        <f t="shared" si="23"/>
        <v>165</v>
      </c>
      <c r="O117" s="29">
        <v>-82.500256906666138</v>
      </c>
      <c r="P117" s="29">
        <v>87.410559842099133</v>
      </c>
      <c r="Q117" s="29">
        <v>0</v>
      </c>
      <c r="R117" s="29">
        <v>0</v>
      </c>
      <c r="S117" s="29">
        <v>-165</v>
      </c>
      <c r="T117" s="29">
        <v>264.63791418218</v>
      </c>
      <c r="U117" s="29">
        <v>-172.1233406150339</v>
      </c>
      <c r="V117" s="29">
        <v>0</v>
      </c>
      <c r="W117" s="29">
        <v>-240.76003054263123</v>
      </c>
      <c r="X117" s="29">
        <v>172.1233406150339</v>
      </c>
      <c r="Y117" s="29">
        <v>0</v>
      </c>
      <c r="Z117" s="29">
        <v>0</v>
      </c>
      <c r="AA117" s="29">
        <v>-23.877883639548774</v>
      </c>
    </row>
    <row r="118" spans="3:27" x14ac:dyDescent="0.25">
      <c r="C118" t="s">
        <v>22</v>
      </c>
      <c r="D118" s="29">
        <v>165</v>
      </c>
      <c r="E118" s="29">
        <v>-43.147396052012027</v>
      </c>
      <c r="F118" s="29">
        <v>0</v>
      </c>
      <c r="G118" s="29">
        <v>0</v>
      </c>
      <c r="H118" s="29">
        <v>28.64790472115908</v>
      </c>
      <c r="I118" s="29">
        <v>0</v>
      </c>
      <c r="J118" s="29">
        <v>0</v>
      </c>
      <c r="K118" s="29">
        <v>-165</v>
      </c>
      <c r="L118" s="29">
        <v>255.63182140519586</v>
      </c>
      <c r="M118" s="29">
        <v>-54.340580643631313</v>
      </c>
      <c r="N118">
        <f t="shared" si="23"/>
        <v>165</v>
      </c>
      <c r="O118" s="29">
        <v>-90.631821405195865</v>
      </c>
      <c r="P118" s="29">
        <v>54.340580643631313</v>
      </c>
      <c r="Q118" s="29">
        <v>0</v>
      </c>
      <c r="R118" s="29">
        <v>0</v>
      </c>
      <c r="S118" s="29">
        <v>-165</v>
      </c>
      <c r="T118" s="29">
        <v>289.07332124749752</v>
      </c>
      <c r="U118" s="29">
        <v>-197.80304794290922</v>
      </c>
      <c r="V118" s="29">
        <v>0</v>
      </c>
      <c r="W118" s="29">
        <v>-249.78247158313903</v>
      </c>
      <c r="X118" s="29">
        <v>197.80304794290922</v>
      </c>
      <c r="Y118" s="29">
        <v>0</v>
      </c>
      <c r="Z118" s="29">
        <v>0</v>
      </c>
      <c r="AA118" s="29">
        <v>-39.290849664358468</v>
      </c>
    </row>
    <row r="119" spans="3:27" x14ac:dyDescent="0.25">
      <c r="C119" t="s">
        <v>23</v>
      </c>
      <c r="D119" s="29">
        <v>165</v>
      </c>
      <c r="E119" s="29">
        <v>-67.298841521680572</v>
      </c>
      <c r="F119" s="29">
        <v>0</v>
      </c>
      <c r="G119" s="29">
        <v>0</v>
      </c>
      <c r="H119" s="29">
        <v>34.341259143791831</v>
      </c>
      <c r="I119" s="29">
        <v>0</v>
      </c>
      <c r="J119" s="29">
        <v>0</v>
      </c>
      <c r="K119" s="29">
        <v>-165</v>
      </c>
      <c r="L119" s="29">
        <v>124.07584692628726</v>
      </c>
      <c r="M119" s="29">
        <v>0</v>
      </c>
      <c r="N119">
        <f t="shared" si="23"/>
        <v>165</v>
      </c>
      <c r="O119" s="29">
        <v>-70.652607064771601</v>
      </c>
      <c r="P119" s="29">
        <v>0</v>
      </c>
      <c r="Q119" s="29">
        <v>-37.777424292959843</v>
      </c>
      <c r="R119" s="29">
        <v>0</v>
      </c>
      <c r="S119" s="29">
        <v>-15.645815568555806</v>
      </c>
      <c r="T119" s="29">
        <v>254.98914230591222</v>
      </c>
      <c r="U119" s="29">
        <v>-229.76765699432835</v>
      </c>
      <c r="V119" s="29">
        <v>0</v>
      </c>
      <c r="W119" s="29">
        <v>-228.18357437263248</v>
      </c>
      <c r="X119" s="29">
        <v>229.76765699432835</v>
      </c>
      <c r="Y119" s="29">
        <v>0</v>
      </c>
      <c r="Z119" s="29">
        <v>0</v>
      </c>
      <c r="AA119" s="29">
        <v>-26.80556793327975</v>
      </c>
    </row>
  </sheetData>
  <mergeCells count="15">
    <mergeCell ref="T93:AA93"/>
    <mergeCell ref="L63:M63"/>
    <mergeCell ref="N63:O63"/>
    <mergeCell ref="P63:Q63"/>
    <mergeCell ref="R63:S63"/>
    <mergeCell ref="D93:K93"/>
    <mergeCell ref="L93:S93"/>
    <mergeCell ref="L3:M3"/>
    <mergeCell ref="N3:O3"/>
    <mergeCell ref="P3:Q3"/>
    <mergeCell ref="R3:S3"/>
    <mergeCell ref="L33:M33"/>
    <mergeCell ref="N33:O33"/>
    <mergeCell ref="P33:Q33"/>
    <mergeCell ref="R33:S33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31F60-9A88-4462-A589-FBAC6490886E}">
  <dimension ref="B1:Z119"/>
  <sheetViews>
    <sheetView topLeftCell="A108" workbookViewId="0">
      <selection activeCell="B96" sqref="B96:B119"/>
    </sheetView>
  </sheetViews>
  <sheetFormatPr baseColWidth="10" defaultRowHeight="15" x14ac:dyDescent="0.25"/>
  <sheetData>
    <row r="1" spans="2:19" x14ac:dyDescent="0.25">
      <c r="B1">
        <v>2030</v>
      </c>
    </row>
    <row r="3" spans="2:19" x14ac:dyDescent="0.25">
      <c r="C3" t="s">
        <v>48</v>
      </c>
      <c r="G3" t="s">
        <v>47</v>
      </c>
      <c r="I3" t="s">
        <v>28</v>
      </c>
      <c r="K3" t="s">
        <v>25</v>
      </c>
      <c r="L3" t="s">
        <v>56</v>
      </c>
      <c r="N3" t="s">
        <v>59</v>
      </c>
      <c r="P3" t="s">
        <v>60</v>
      </c>
      <c r="R3" t="s">
        <v>61</v>
      </c>
    </row>
    <row r="4" spans="2:19" x14ac:dyDescent="0.25">
      <c r="C4" t="s">
        <v>44</v>
      </c>
      <c r="D4" t="s">
        <v>45</v>
      </c>
      <c r="E4" t="s">
        <v>46</v>
      </c>
      <c r="G4" t="s">
        <v>46</v>
      </c>
      <c r="I4" t="s">
        <v>45</v>
      </c>
      <c r="K4" t="s">
        <v>44</v>
      </c>
      <c r="L4" t="s">
        <v>57</v>
      </c>
      <c r="M4" t="s">
        <v>58</v>
      </c>
      <c r="N4" t="s">
        <v>57</v>
      </c>
      <c r="O4" t="s">
        <v>58</v>
      </c>
      <c r="P4" t="s">
        <v>57</v>
      </c>
      <c r="Q4" t="s">
        <v>58</v>
      </c>
      <c r="R4" t="s">
        <v>57</v>
      </c>
      <c r="S4" t="s">
        <v>58</v>
      </c>
    </row>
    <row r="5" spans="2:19" x14ac:dyDescent="0.25">
      <c r="C5">
        <v>132.22430348421102</v>
      </c>
      <c r="D5">
        <v>0</v>
      </c>
      <c r="E5">
        <v>0</v>
      </c>
      <c r="G5">
        <v>-146.37519907280574</v>
      </c>
      <c r="I5">
        <v>-45.594692705410658</v>
      </c>
      <c r="K5">
        <v>0</v>
      </c>
      <c r="L5">
        <f>$C5+$D5+$E5</f>
        <v>132.22430348421102</v>
      </c>
      <c r="M5">
        <f>G5+I5+K5</f>
        <v>-191.96989177821641</v>
      </c>
      <c r="N5">
        <f>-K5</f>
        <v>0</v>
      </c>
      <c r="O5">
        <f>-C5</f>
        <v>-132.22430348421102</v>
      </c>
      <c r="P5">
        <f>-G5</f>
        <v>146.37519907280574</v>
      </c>
      <c r="Q5">
        <f>-E5</f>
        <v>0</v>
      </c>
      <c r="R5">
        <f>-I5</f>
        <v>45.594692705410658</v>
      </c>
      <c r="S5">
        <f>-D5</f>
        <v>0</v>
      </c>
    </row>
    <row r="6" spans="2:19" x14ac:dyDescent="0.25">
      <c r="C6">
        <v>165.21593529960307</v>
      </c>
      <c r="D6">
        <v>0</v>
      </c>
      <c r="E6">
        <v>0</v>
      </c>
      <c r="G6">
        <v>-148.28837403598246</v>
      </c>
      <c r="I6">
        <v>-127.94702590056329</v>
      </c>
      <c r="K6">
        <v>0</v>
      </c>
      <c r="L6">
        <f t="shared" ref="L6:L28" si="0">C6+D6+E6</f>
        <v>165.21593529960307</v>
      </c>
      <c r="M6">
        <f t="shared" ref="M6:M28" si="1">G6+I6+K6</f>
        <v>-276.23539993654572</v>
      </c>
      <c r="N6">
        <f t="shared" ref="N6:N28" si="2">-K6</f>
        <v>0</v>
      </c>
      <c r="O6">
        <f t="shared" ref="O6:O28" si="3">-C6</f>
        <v>-165.21593529960307</v>
      </c>
      <c r="P6">
        <f t="shared" ref="P6:P28" si="4">-G6</f>
        <v>148.28837403598246</v>
      </c>
      <c r="Q6">
        <f t="shared" ref="Q6:Q28" si="5">-E6</f>
        <v>0</v>
      </c>
      <c r="R6">
        <f t="shared" ref="R6:R28" si="6">-I6</f>
        <v>127.94702590056329</v>
      </c>
      <c r="S6">
        <f t="shared" ref="S6:S28" si="7">-D6</f>
        <v>0</v>
      </c>
    </row>
    <row r="7" spans="2:19" x14ac:dyDescent="0.25">
      <c r="C7">
        <v>163.8886173740238</v>
      </c>
      <c r="D7">
        <v>0</v>
      </c>
      <c r="E7">
        <v>0</v>
      </c>
      <c r="G7">
        <v>-147.06245838430527</v>
      </c>
      <c r="I7">
        <v>-126.13866592297151</v>
      </c>
      <c r="K7">
        <v>0</v>
      </c>
      <c r="L7">
        <f t="shared" si="0"/>
        <v>163.8886173740238</v>
      </c>
      <c r="M7">
        <f t="shared" si="1"/>
        <v>-273.20112430727681</v>
      </c>
      <c r="N7">
        <f t="shared" si="2"/>
        <v>0</v>
      </c>
      <c r="O7">
        <f t="shared" si="3"/>
        <v>-163.8886173740238</v>
      </c>
      <c r="P7">
        <f t="shared" si="4"/>
        <v>147.06245838430527</v>
      </c>
      <c r="Q7">
        <f t="shared" si="5"/>
        <v>0</v>
      </c>
      <c r="R7">
        <f t="shared" si="6"/>
        <v>126.13866592297151</v>
      </c>
      <c r="S7">
        <f t="shared" si="7"/>
        <v>0</v>
      </c>
    </row>
    <row r="8" spans="2:19" x14ac:dyDescent="0.25">
      <c r="C8">
        <v>92.948358095536861</v>
      </c>
      <c r="D8">
        <v>21.084476856127885</v>
      </c>
      <c r="E8">
        <v>0</v>
      </c>
      <c r="G8">
        <v>-118.80659495360518</v>
      </c>
      <c r="I8">
        <v>0</v>
      </c>
      <c r="K8">
        <v>0</v>
      </c>
      <c r="L8">
        <f t="shared" si="0"/>
        <v>114.03283495166474</v>
      </c>
      <c r="M8">
        <f t="shared" si="1"/>
        <v>-118.80659495360518</v>
      </c>
      <c r="N8">
        <f t="shared" si="2"/>
        <v>0</v>
      </c>
      <c r="O8">
        <f t="shared" si="3"/>
        <v>-92.948358095536861</v>
      </c>
      <c r="P8">
        <f t="shared" si="4"/>
        <v>118.80659495360518</v>
      </c>
      <c r="Q8">
        <f t="shared" si="5"/>
        <v>0</v>
      </c>
      <c r="R8">
        <f t="shared" si="6"/>
        <v>0</v>
      </c>
      <c r="S8">
        <f t="shared" si="7"/>
        <v>-21.084476856127885</v>
      </c>
    </row>
    <row r="9" spans="2:19" x14ac:dyDescent="0.25">
      <c r="C9">
        <v>194.33378130981006</v>
      </c>
      <c r="D9">
        <v>0</v>
      </c>
      <c r="E9">
        <v>0</v>
      </c>
      <c r="G9">
        <v>-106.55221565241506</v>
      </c>
      <c r="I9">
        <v>-49.276411045213855</v>
      </c>
      <c r="K9">
        <v>0</v>
      </c>
      <c r="L9">
        <f t="shared" si="0"/>
        <v>194.33378130981006</v>
      </c>
      <c r="M9">
        <f t="shared" si="1"/>
        <v>-155.82862669762892</v>
      </c>
      <c r="N9">
        <f t="shared" si="2"/>
        <v>0</v>
      </c>
      <c r="O9">
        <f t="shared" si="3"/>
        <v>-194.33378130981006</v>
      </c>
      <c r="P9">
        <f t="shared" si="4"/>
        <v>106.55221565241506</v>
      </c>
      <c r="Q9">
        <f t="shared" si="5"/>
        <v>0</v>
      </c>
      <c r="R9">
        <f t="shared" si="6"/>
        <v>49.276411045213855</v>
      </c>
      <c r="S9">
        <f t="shared" si="7"/>
        <v>0</v>
      </c>
    </row>
    <row r="10" spans="2:19" x14ac:dyDescent="0.25">
      <c r="C10">
        <v>150.65670435682361</v>
      </c>
      <c r="D10">
        <v>0</v>
      </c>
      <c r="E10">
        <v>0</v>
      </c>
      <c r="G10">
        <v>-63.533478472137332</v>
      </c>
      <c r="I10">
        <v>-165</v>
      </c>
      <c r="K10">
        <v>0</v>
      </c>
      <c r="L10">
        <f t="shared" si="0"/>
        <v>150.65670435682361</v>
      </c>
      <c r="M10">
        <f t="shared" si="1"/>
        <v>-228.53347847213735</v>
      </c>
      <c r="N10">
        <f t="shared" si="2"/>
        <v>0</v>
      </c>
      <c r="O10">
        <f t="shared" si="3"/>
        <v>-150.65670435682361</v>
      </c>
      <c r="P10">
        <f t="shared" si="4"/>
        <v>63.533478472137332</v>
      </c>
      <c r="Q10">
        <f t="shared" si="5"/>
        <v>0</v>
      </c>
      <c r="R10">
        <f t="shared" si="6"/>
        <v>165</v>
      </c>
      <c r="S10">
        <f t="shared" si="7"/>
        <v>0</v>
      </c>
    </row>
    <row r="11" spans="2:19" x14ac:dyDescent="0.25">
      <c r="C11">
        <v>144.66972828425372</v>
      </c>
      <c r="D11">
        <v>0</v>
      </c>
      <c r="E11">
        <v>0</v>
      </c>
      <c r="G11">
        <v>-50.08833517003329</v>
      </c>
      <c r="I11">
        <v>-165</v>
      </c>
      <c r="K11">
        <v>0</v>
      </c>
      <c r="L11">
        <f t="shared" si="0"/>
        <v>144.66972828425372</v>
      </c>
      <c r="M11">
        <f t="shared" si="1"/>
        <v>-215.0883351700333</v>
      </c>
      <c r="N11">
        <f t="shared" si="2"/>
        <v>0</v>
      </c>
      <c r="O11">
        <f t="shared" si="3"/>
        <v>-144.66972828425372</v>
      </c>
      <c r="P11">
        <f t="shared" si="4"/>
        <v>50.08833517003329</v>
      </c>
      <c r="Q11">
        <f t="shared" si="5"/>
        <v>0</v>
      </c>
      <c r="R11">
        <f t="shared" si="6"/>
        <v>165</v>
      </c>
      <c r="S11">
        <f t="shared" si="7"/>
        <v>0</v>
      </c>
    </row>
    <row r="12" spans="2:19" x14ac:dyDescent="0.25">
      <c r="C12">
        <v>185.56785971324766</v>
      </c>
      <c r="D12">
        <v>0</v>
      </c>
      <c r="E12">
        <v>0</v>
      </c>
      <c r="G12">
        <v>-215.2621542126368</v>
      </c>
      <c r="I12">
        <v>-91.667882146506003</v>
      </c>
      <c r="K12">
        <v>0</v>
      </c>
      <c r="L12">
        <f t="shared" si="0"/>
        <v>185.56785971324766</v>
      </c>
      <c r="M12">
        <f t="shared" si="1"/>
        <v>-306.93003635914283</v>
      </c>
      <c r="N12">
        <f t="shared" si="2"/>
        <v>0</v>
      </c>
      <c r="O12">
        <f t="shared" si="3"/>
        <v>-185.56785971324766</v>
      </c>
      <c r="P12">
        <f t="shared" si="4"/>
        <v>215.2621542126368</v>
      </c>
      <c r="Q12">
        <f t="shared" si="5"/>
        <v>0</v>
      </c>
      <c r="R12">
        <f t="shared" si="6"/>
        <v>91.667882146506003</v>
      </c>
      <c r="S12">
        <f t="shared" si="7"/>
        <v>0</v>
      </c>
    </row>
    <row r="13" spans="2:19" x14ac:dyDescent="0.25">
      <c r="C13">
        <v>48.607051830709452</v>
      </c>
      <c r="D13">
        <v>123.31315028862323</v>
      </c>
      <c r="E13">
        <v>0</v>
      </c>
      <c r="G13">
        <v>-200.20181590210231</v>
      </c>
      <c r="I13">
        <v>0</v>
      </c>
      <c r="K13">
        <v>0</v>
      </c>
      <c r="L13">
        <f t="shared" si="0"/>
        <v>171.92020211933269</v>
      </c>
      <c r="M13">
        <f t="shared" si="1"/>
        <v>-200.20181590210231</v>
      </c>
      <c r="N13">
        <f t="shared" si="2"/>
        <v>0</v>
      </c>
      <c r="O13">
        <f t="shared" si="3"/>
        <v>-48.607051830709452</v>
      </c>
      <c r="P13">
        <f t="shared" si="4"/>
        <v>200.20181590210231</v>
      </c>
      <c r="Q13">
        <f t="shared" si="5"/>
        <v>0</v>
      </c>
      <c r="R13">
        <f t="shared" si="6"/>
        <v>0</v>
      </c>
      <c r="S13">
        <f t="shared" si="7"/>
        <v>-123.31315028862323</v>
      </c>
    </row>
    <row r="14" spans="2:19" x14ac:dyDescent="0.25">
      <c r="C14">
        <v>14.925901007640277</v>
      </c>
      <c r="D14">
        <v>165</v>
      </c>
      <c r="E14">
        <v>0</v>
      </c>
      <c r="G14">
        <v>-180.89162806929494</v>
      </c>
      <c r="I14">
        <v>0</v>
      </c>
      <c r="K14">
        <v>0</v>
      </c>
      <c r="L14">
        <f t="shared" si="0"/>
        <v>179.92590100764028</v>
      </c>
      <c r="M14">
        <f t="shared" si="1"/>
        <v>-180.89162806929494</v>
      </c>
      <c r="N14">
        <f t="shared" si="2"/>
        <v>0</v>
      </c>
      <c r="O14">
        <f t="shared" si="3"/>
        <v>-14.925901007640277</v>
      </c>
      <c r="P14">
        <f t="shared" si="4"/>
        <v>180.89162806929494</v>
      </c>
      <c r="Q14">
        <f t="shared" si="5"/>
        <v>0</v>
      </c>
      <c r="R14">
        <f t="shared" si="6"/>
        <v>0</v>
      </c>
      <c r="S14">
        <f t="shared" si="7"/>
        <v>-165</v>
      </c>
    </row>
    <row r="15" spans="2:19" x14ac:dyDescent="0.25">
      <c r="C15">
        <v>0</v>
      </c>
      <c r="D15">
        <v>165</v>
      </c>
      <c r="E15">
        <v>0</v>
      </c>
      <c r="G15">
        <v>-148.0454333523644</v>
      </c>
      <c r="I15">
        <v>0</v>
      </c>
      <c r="K15">
        <v>-13.716314121117879</v>
      </c>
      <c r="L15">
        <f t="shared" si="0"/>
        <v>165</v>
      </c>
      <c r="M15">
        <f t="shared" si="1"/>
        <v>-161.76174747348227</v>
      </c>
      <c r="N15">
        <f t="shared" si="2"/>
        <v>13.716314121117879</v>
      </c>
      <c r="O15">
        <f t="shared" si="3"/>
        <v>0</v>
      </c>
      <c r="P15">
        <f t="shared" si="4"/>
        <v>148.0454333523644</v>
      </c>
      <c r="Q15">
        <f t="shared" si="5"/>
        <v>0</v>
      </c>
      <c r="R15">
        <f t="shared" si="6"/>
        <v>0</v>
      </c>
      <c r="S15">
        <f t="shared" si="7"/>
        <v>-165</v>
      </c>
    </row>
    <row r="16" spans="2:19" x14ac:dyDescent="0.25">
      <c r="C16">
        <v>64.680305345507392</v>
      </c>
      <c r="D16">
        <v>119.15488474035733</v>
      </c>
      <c r="E16">
        <v>0</v>
      </c>
      <c r="G16">
        <v>-135.09294937962568</v>
      </c>
      <c r="I16">
        <v>0</v>
      </c>
      <c r="K16">
        <v>0</v>
      </c>
      <c r="L16">
        <f t="shared" si="0"/>
        <v>183.83519008586472</v>
      </c>
      <c r="M16">
        <f t="shared" si="1"/>
        <v>-135.09294937962568</v>
      </c>
      <c r="N16">
        <f t="shared" si="2"/>
        <v>0</v>
      </c>
      <c r="O16">
        <f t="shared" si="3"/>
        <v>-64.680305345507392</v>
      </c>
      <c r="P16">
        <f t="shared" si="4"/>
        <v>135.09294937962568</v>
      </c>
      <c r="Q16">
        <f t="shared" si="5"/>
        <v>0</v>
      </c>
      <c r="R16">
        <f t="shared" si="6"/>
        <v>0</v>
      </c>
      <c r="S16">
        <f t="shared" si="7"/>
        <v>-119.15488474035733</v>
      </c>
    </row>
    <row r="17" spans="2:19" x14ac:dyDescent="0.25">
      <c r="C17">
        <v>0</v>
      </c>
      <c r="D17">
        <v>165</v>
      </c>
      <c r="E17">
        <v>0</v>
      </c>
      <c r="G17">
        <v>-86.243314992513206</v>
      </c>
      <c r="I17">
        <v>0</v>
      </c>
      <c r="K17">
        <v>-11.124512785563526</v>
      </c>
      <c r="L17">
        <f t="shared" si="0"/>
        <v>165</v>
      </c>
      <c r="M17">
        <f t="shared" si="1"/>
        <v>-97.36782777807673</v>
      </c>
      <c r="N17">
        <f t="shared" si="2"/>
        <v>11.124512785563526</v>
      </c>
      <c r="O17">
        <f t="shared" si="3"/>
        <v>0</v>
      </c>
      <c r="P17">
        <f t="shared" si="4"/>
        <v>86.243314992513206</v>
      </c>
      <c r="Q17">
        <f t="shared" si="5"/>
        <v>0</v>
      </c>
      <c r="R17">
        <f t="shared" si="6"/>
        <v>0</v>
      </c>
      <c r="S17">
        <f t="shared" si="7"/>
        <v>-165</v>
      </c>
    </row>
    <row r="18" spans="2:19" x14ac:dyDescent="0.25">
      <c r="C18">
        <v>0</v>
      </c>
      <c r="D18">
        <v>165</v>
      </c>
      <c r="E18">
        <v>0</v>
      </c>
      <c r="G18">
        <v>-96.558624323248083</v>
      </c>
      <c r="I18">
        <v>0</v>
      </c>
      <c r="K18">
        <v>-2.1483604954382836</v>
      </c>
      <c r="L18">
        <f t="shared" si="0"/>
        <v>165</v>
      </c>
      <c r="M18">
        <f t="shared" si="1"/>
        <v>-98.706984818686365</v>
      </c>
      <c r="N18">
        <f t="shared" si="2"/>
        <v>2.1483604954382836</v>
      </c>
      <c r="O18">
        <f t="shared" si="3"/>
        <v>0</v>
      </c>
      <c r="P18">
        <f t="shared" si="4"/>
        <v>96.558624323248083</v>
      </c>
      <c r="Q18">
        <f t="shared" si="5"/>
        <v>0</v>
      </c>
      <c r="R18">
        <f t="shared" si="6"/>
        <v>0</v>
      </c>
      <c r="S18">
        <f t="shared" si="7"/>
        <v>-165</v>
      </c>
    </row>
    <row r="19" spans="2:19" x14ac:dyDescent="0.25">
      <c r="C19">
        <v>0</v>
      </c>
      <c r="D19">
        <v>165</v>
      </c>
      <c r="E19">
        <v>0</v>
      </c>
      <c r="G19">
        <v>-92.367597180783719</v>
      </c>
      <c r="I19">
        <v>0</v>
      </c>
      <c r="K19">
        <v>-1.6550026803774927</v>
      </c>
      <c r="L19">
        <f t="shared" si="0"/>
        <v>165</v>
      </c>
      <c r="M19">
        <f t="shared" si="1"/>
        <v>-94.022599861161211</v>
      </c>
      <c r="N19">
        <f t="shared" si="2"/>
        <v>1.6550026803774927</v>
      </c>
      <c r="O19">
        <f t="shared" si="3"/>
        <v>0</v>
      </c>
      <c r="P19">
        <f t="shared" si="4"/>
        <v>92.367597180783719</v>
      </c>
      <c r="Q19">
        <f t="shared" si="5"/>
        <v>0</v>
      </c>
      <c r="R19">
        <f t="shared" si="6"/>
        <v>0</v>
      </c>
      <c r="S19">
        <f t="shared" si="7"/>
        <v>-165</v>
      </c>
    </row>
    <row r="20" spans="2:19" x14ac:dyDescent="0.25">
      <c r="C20">
        <v>0</v>
      </c>
      <c r="D20">
        <v>149.7874540313141</v>
      </c>
      <c r="E20">
        <v>0</v>
      </c>
      <c r="G20">
        <v>-62.170281780150049</v>
      </c>
      <c r="I20">
        <v>0</v>
      </c>
      <c r="K20">
        <v>-37.449010717237286</v>
      </c>
      <c r="L20">
        <f t="shared" si="0"/>
        <v>149.7874540313141</v>
      </c>
      <c r="M20">
        <f t="shared" si="1"/>
        <v>-99.619292497387335</v>
      </c>
      <c r="N20">
        <f t="shared" si="2"/>
        <v>37.449010717237286</v>
      </c>
      <c r="O20">
        <f t="shared" si="3"/>
        <v>0</v>
      </c>
      <c r="P20">
        <f t="shared" si="4"/>
        <v>62.170281780150049</v>
      </c>
      <c r="Q20">
        <f t="shared" si="5"/>
        <v>0</v>
      </c>
      <c r="R20">
        <f t="shared" si="6"/>
        <v>0</v>
      </c>
      <c r="S20">
        <f t="shared" si="7"/>
        <v>-149.7874540313141</v>
      </c>
    </row>
    <row r="21" spans="2:19" x14ac:dyDescent="0.25">
      <c r="C21">
        <v>0</v>
      </c>
      <c r="D21">
        <v>0</v>
      </c>
      <c r="E21">
        <v>0</v>
      </c>
      <c r="G21">
        <v>-20.680008384236544</v>
      </c>
      <c r="I21">
        <v>-48.240314659621255</v>
      </c>
      <c r="K21">
        <v>-5.3432903360885016</v>
      </c>
      <c r="L21">
        <f t="shared" si="0"/>
        <v>0</v>
      </c>
      <c r="M21">
        <f t="shared" si="1"/>
        <v>-74.263613379946293</v>
      </c>
      <c r="N21">
        <f t="shared" si="2"/>
        <v>5.3432903360885016</v>
      </c>
      <c r="O21">
        <f t="shared" si="3"/>
        <v>0</v>
      </c>
      <c r="P21">
        <f t="shared" si="4"/>
        <v>20.680008384236544</v>
      </c>
      <c r="Q21">
        <f t="shared" si="5"/>
        <v>0</v>
      </c>
      <c r="R21">
        <f t="shared" si="6"/>
        <v>48.240314659621255</v>
      </c>
      <c r="S21">
        <f t="shared" si="7"/>
        <v>0</v>
      </c>
    </row>
    <row r="22" spans="2:19" x14ac:dyDescent="0.25">
      <c r="C22">
        <v>160.01468198033047</v>
      </c>
      <c r="D22">
        <v>0</v>
      </c>
      <c r="E22">
        <v>0</v>
      </c>
      <c r="G22">
        <v>-54.698228965051506</v>
      </c>
      <c r="I22">
        <v>-165</v>
      </c>
      <c r="K22">
        <v>0</v>
      </c>
      <c r="L22">
        <f t="shared" si="0"/>
        <v>160.01468198033047</v>
      </c>
      <c r="M22">
        <f t="shared" si="1"/>
        <v>-219.6982289650515</v>
      </c>
      <c r="N22">
        <f t="shared" si="2"/>
        <v>0</v>
      </c>
      <c r="O22">
        <f t="shared" si="3"/>
        <v>-160.01468198033047</v>
      </c>
      <c r="P22">
        <f t="shared" si="4"/>
        <v>54.698228965051506</v>
      </c>
      <c r="Q22">
        <f t="shared" si="5"/>
        <v>0</v>
      </c>
      <c r="R22">
        <f t="shared" si="6"/>
        <v>165</v>
      </c>
      <c r="S22">
        <f t="shared" si="7"/>
        <v>0</v>
      </c>
    </row>
    <row r="23" spans="2:19" x14ac:dyDescent="0.25">
      <c r="C23">
        <v>160.83917671454091</v>
      </c>
      <c r="D23">
        <v>0</v>
      </c>
      <c r="E23">
        <v>0</v>
      </c>
      <c r="G23">
        <v>-97.491072720622796</v>
      </c>
      <c r="I23">
        <v>-149.58393920451635</v>
      </c>
      <c r="K23">
        <v>0</v>
      </c>
      <c r="L23">
        <f t="shared" si="0"/>
        <v>160.83917671454091</v>
      </c>
      <c r="M23">
        <f t="shared" si="1"/>
        <v>-247.07501192513917</v>
      </c>
      <c r="N23">
        <f t="shared" si="2"/>
        <v>0</v>
      </c>
      <c r="O23">
        <f t="shared" si="3"/>
        <v>-160.83917671454091</v>
      </c>
      <c r="P23">
        <f t="shared" si="4"/>
        <v>97.491072720622796</v>
      </c>
      <c r="Q23">
        <f t="shared" si="5"/>
        <v>0</v>
      </c>
      <c r="R23">
        <f t="shared" si="6"/>
        <v>149.58393920451635</v>
      </c>
      <c r="S23">
        <f t="shared" si="7"/>
        <v>0</v>
      </c>
    </row>
    <row r="24" spans="2:19" x14ac:dyDescent="0.25">
      <c r="C24">
        <v>57.871010671293618</v>
      </c>
      <c r="D24">
        <v>0</v>
      </c>
      <c r="E24">
        <v>0</v>
      </c>
      <c r="G24">
        <v>-123.00103194870201</v>
      </c>
      <c r="I24">
        <v>-65.460513860598468</v>
      </c>
      <c r="K24">
        <v>0</v>
      </c>
      <c r="L24">
        <f t="shared" si="0"/>
        <v>57.871010671293618</v>
      </c>
      <c r="M24">
        <f t="shared" si="1"/>
        <v>-188.46154580930047</v>
      </c>
      <c r="N24">
        <f t="shared" si="2"/>
        <v>0</v>
      </c>
      <c r="O24">
        <f t="shared" si="3"/>
        <v>-57.871010671293618</v>
      </c>
      <c r="P24">
        <f t="shared" si="4"/>
        <v>123.00103194870201</v>
      </c>
      <c r="Q24">
        <f t="shared" si="5"/>
        <v>0</v>
      </c>
      <c r="R24">
        <f t="shared" si="6"/>
        <v>65.460513860598468</v>
      </c>
      <c r="S24">
        <f t="shared" si="7"/>
        <v>0</v>
      </c>
    </row>
    <row r="25" spans="2:19" x14ac:dyDescent="0.25">
      <c r="C25">
        <v>58.45922401990417</v>
      </c>
      <c r="D25">
        <v>100.16375930727905</v>
      </c>
      <c r="E25">
        <v>0</v>
      </c>
      <c r="G25">
        <v>-95.519128578335895</v>
      </c>
      <c r="I25">
        <v>0</v>
      </c>
      <c r="K25">
        <v>0</v>
      </c>
      <c r="L25">
        <f t="shared" si="0"/>
        <v>158.62298332718322</v>
      </c>
      <c r="M25">
        <f t="shared" si="1"/>
        <v>-95.519128578335895</v>
      </c>
      <c r="N25">
        <f t="shared" si="2"/>
        <v>0</v>
      </c>
      <c r="O25">
        <f t="shared" si="3"/>
        <v>-58.45922401990417</v>
      </c>
      <c r="P25">
        <f t="shared" si="4"/>
        <v>95.519128578335895</v>
      </c>
      <c r="Q25">
        <f t="shared" si="5"/>
        <v>0</v>
      </c>
      <c r="R25">
        <f t="shared" si="6"/>
        <v>0</v>
      </c>
      <c r="S25">
        <f t="shared" si="7"/>
        <v>-100.16375930727905</v>
      </c>
    </row>
    <row r="26" spans="2:19" x14ac:dyDescent="0.25">
      <c r="C26">
        <v>0</v>
      </c>
      <c r="D26">
        <v>165</v>
      </c>
      <c r="E26">
        <v>0</v>
      </c>
      <c r="G26">
        <v>-53.94221834244739</v>
      </c>
      <c r="I26">
        <v>0</v>
      </c>
      <c r="K26">
        <v>-20.892917048371377</v>
      </c>
      <c r="L26">
        <f t="shared" si="0"/>
        <v>165</v>
      </c>
      <c r="M26">
        <f t="shared" si="1"/>
        <v>-74.835135390818763</v>
      </c>
      <c r="N26">
        <f t="shared" si="2"/>
        <v>20.892917048371377</v>
      </c>
      <c r="O26">
        <f t="shared" si="3"/>
        <v>0</v>
      </c>
      <c r="P26">
        <f t="shared" si="4"/>
        <v>53.94221834244739</v>
      </c>
      <c r="Q26">
        <f t="shared" si="5"/>
        <v>0</v>
      </c>
      <c r="R26">
        <f t="shared" si="6"/>
        <v>0</v>
      </c>
      <c r="S26">
        <f t="shared" si="7"/>
        <v>-165</v>
      </c>
    </row>
    <row r="27" spans="2:19" x14ac:dyDescent="0.25">
      <c r="C27">
        <v>0</v>
      </c>
      <c r="D27">
        <v>165</v>
      </c>
      <c r="E27">
        <v>0</v>
      </c>
      <c r="G27">
        <v>-28.64790472115908</v>
      </c>
      <c r="I27">
        <v>0</v>
      </c>
      <c r="K27">
        <v>-14.499491330853061</v>
      </c>
      <c r="L27">
        <f t="shared" si="0"/>
        <v>165</v>
      </c>
      <c r="M27">
        <f t="shared" si="1"/>
        <v>-43.147396052012141</v>
      </c>
      <c r="N27">
        <f t="shared" si="2"/>
        <v>14.499491330853061</v>
      </c>
      <c r="O27">
        <f t="shared" si="3"/>
        <v>0</v>
      </c>
      <c r="P27">
        <f t="shared" si="4"/>
        <v>28.64790472115908</v>
      </c>
      <c r="Q27">
        <f t="shared" si="5"/>
        <v>0</v>
      </c>
      <c r="R27">
        <f t="shared" si="6"/>
        <v>0</v>
      </c>
      <c r="S27">
        <f t="shared" si="7"/>
        <v>-165</v>
      </c>
    </row>
    <row r="28" spans="2:19" x14ac:dyDescent="0.25">
      <c r="C28">
        <v>0</v>
      </c>
      <c r="D28">
        <v>165</v>
      </c>
      <c r="E28">
        <v>0</v>
      </c>
      <c r="G28">
        <v>-34.341259143791831</v>
      </c>
      <c r="I28">
        <v>0</v>
      </c>
      <c r="K28">
        <v>-32.957582377888741</v>
      </c>
      <c r="L28">
        <f t="shared" si="0"/>
        <v>165</v>
      </c>
      <c r="M28">
        <f t="shared" si="1"/>
        <v>-67.298841521680572</v>
      </c>
      <c r="N28">
        <f t="shared" si="2"/>
        <v>32.957582377888741</v>
      </c>
      <c r="O28">
        <f t="shared" si="3"/>
        <v>0</v>
      </c>
      <c r="P28">
        <f t="shared" si="4"/>
        <v>34.341259143791831</v>
      </c>
      <c r="Q28">
        <f t="shared" si="5"/>
        <v>0</v>
      </c>
      <c r="R28">
        <f t="shared" si="6"/>
        <v>0</v>
      </c>
      <c r="S28">
        <f t="shared" si="7"/>
        <v>-165</v>
      </c>
    </row>
    <row r="30" spans="2:19" x14ac:dyDescent="0.25">
      <c r="B30">
        <v>2040</v>
      </c>
    </row>
    <row r="32" spans="2:19" x14ac:dyDescent="0.25">
      <c r="C32" t="s">
        <v>48</v>
      </c>
      <c r="G32" t="s">
        <v>47</v>
      </c>
      <c r="I32" t="s">
        <v>28</v>
      </c>
      <c r="K32" t="s">
        <v>25</v>
      </c>
      <c r="L32" t="s">
        <v>56</v>
      </c>
      <c r="N32" t="s">
        <v>59</v>
      </c>
      <c r="P32" t="s">
        <v>60</v>
      </c>
      <c r="R32" t="s">
        <v>61</v>
      </c>
    </row>
    <row r="33" spans="3:19" x14ac:dyDescent="0.25">
      <c r="C33" t="s">
        <v>44</v>
      </c>
      <c r="D33" t="s">
        <v>45</v>
      </c>
      <c r="E33" t="s">
        <v>46</v>
      </c>
      <c r="G33" t="s">
        <v>46</v>
      </c>
      <c r="I33" t="s">
        <v>45</v>
      </c>
      <c r="K33" t="s">
        <v>44</v>
      </c>
      <c r="L33" t="s">
        <v>57</v>
      </c>
      <c r="M33" t="s">
        <v>58</v>
      </c>
      <c r="N33" t="s">
        <v>57</v>
      </c>
      <c r="O33" t="s">
        <v>58</v>
      </c>
      <c r="P33" t="s">
        <v>57</v>
      </c>
      <c r="Q33" t="s">
        <v>58</v>
      </c>
      <c r="R33" t="s">
        <v>57</v>
      </c>
      <c r="S33" t="s">
        <v>58</v>
      </c>
    </row>
    <row r="34" spans="3:19" x14ac:dyDescent="0.25">
      <c r="C34">
        <v>245.78535299348704</v>
      </c>
      <c r="D34">
        <v>0</v>
      </c>
      <c r="E34">
        <v>0</v>
      </c>
      <c r="G34">
        <v>-260</v>
      </c>
      <c r="I34">
        <v>-64.149514591938512</v>
      </c>
      <c r="K34">
        <v>0</v>
      </c>
      <c r="L34">
        <f>$C34+$D34+$E34</f>
        <v>245.78535299348704</v>
      </c>
      <c r="M34">
        <f>G34+I34+K34</f>
        <v>-324.1495145919385</v>
      </c>
      <c r="N34">
        <f>-K34</f>
        <v>0</v>
      </c>
      <c r="O34">
        <f>-C34</f>
        <v>-245.78535299348704</v>
      </c>
      <c r="P34">
        <f>-G34</f>
        <v>260</v>
      </c>
      <c r="Q34">
        <f>-E34</f>
        <v>0</v>
      </c>
      <c r="R34">
        <f>-I34</f>
        <v>64.149514591938512</v>
      </c>
      <c r="S34">
        <f>-D34</f>
        <v>0</v>
      </c>
    </row>
    <row r="35" spans="3:19" x14ac:dyDescent="0.25">
      <c r="C35">
        <v>278.18991972656784</v>
      </c>
      <c r="D35">
        <v>0</v>
      </c>
      <c r="E35">
        <v>0</v>
      </c>
      <c r="G35">
        <v>-260</v>
      </c>
      <c r="I35">
        <v>-64.974536317895229</v>
      </c>
      <c r="K35">
        <v>0</v>
      </c>
      <c r="L35">
        <f t="shared" ref="L35:L57" si="8">C35+D35+E35</f>
        <v>278.18991972656784</v>
      </c>
      <c r="M35">
        <f t="shared" ref="M35:M57" si="9">G35+I35+K35</f>
        <v>-324.97453631789523</v>
      </c>
      <c r="N35">
        <f t="shared" ref="N35:N57" si="10">-K35</f>
        <v>0</v>
      </c>
      <c r="O35">
        <f t="shared" ref="O35:O57" si="11">-C35</f>
        <v>-278.18991972656784</v>
      </c>
      <c r="P35">
        <f t="shared" ref="P35:P57" si="12">-G35</f>
        <v>260</v>
      </c>
      <c r="Q35">
        <f t="shared" ref="Q35:Q57" si="13">-E35</f>
        <v>0</v>
      </c>
      <c r="R35">
        <f t="shared" ref="R35:R57" si="14">-I35</f>
        <v>64.974536317895229</v>
      </c>
      <c r="S35">
        <f t="shared" ref="S35:S57" si="15">-D35</f>
        <v>0</v>
      </c>
    </row>
    <row r="36" spans="3:19" x14ac:dyDescent="0.25">
      <c r="C36">
        <v>276.84053338471972</v>
      </c>
      <c r="D36">
        <v>0</v>
      </c>
      <c r="E36">
        <v>0</v>
      </c>
      <c r="G36">
        <v>-260</v>
      </c>
      <c r="I36">
        <v>-65.147198916478374</v>
      </c>
      <c r="K36">
        <v>0</v>
      </c>
      <c r="L36">
        <f t="shared" si="8"/>
        <v>276.84053338471972</v>
      </c>
      <c r="M36">
        <f t="shared" si="9"/>
        <v>-325.14719891647837</v>
      </c>
      <c r="N36">
        <f t="shared" si="10"/>
        <v>0</v>
      </c>
      <c r="O36">
        <f t="shared" si="11"/>
        <v>-276.84053338471972</v>
      </c>
      <c r="P36">
        <f t="shared" si="12"/>
        <v>260</v>
      </c>
      <c r="Q36">
        <f t="shared" si="13"/>
        <v>0</v>
      </c>
      <c r="R36">
        <f t="shared" si="14"/>
        <v>65.147198916478374</v>
      </c>
      <c r="S36">
        <f t="shared" si="15"/>
        <v>0</v>
      </c>
    </row>
    <row r="37" spans="3:19" x14ac:dyDescent="0.25">
      <c r="C37">
        <v>199.14057398105604</v>
      </c>
      <c r="D37">
        <v>0</v>
      </c>
      <c r="E37">
        <v>0</v>
      </c>
      <c r="G37">
        <v>-151.71985792535111</v>
      </c>
      <c r="I37">
        <v>-126.9105021896036</v>
      </c>
      <c r="K37">
        <v>0</v>
      </c>
      <c r="L37">
        <f t="shared" si="8"/>
        <v>199.14057398105604</v>
      </c>
      <c r="M37">
        <f t="shared" si="9"/>
        <v>-278.63036011495473</v>
      </c>
      <c r="N37">
        <f t="shared" si="10"/>
        <v>0</v>
      </c>
      <c r="O37">
        <f t="shared" si="11"/>
        <v>-199.14057398105604</v>
      </c>
      <c r="P37">
        <f t="shared" si="12"/>
        <v>151.71985792535111</v>
      </c>
      <c r="Q37">
        <f t="shared" si="13"/>
        <v>0</v>
      </c>
      <c r="R37">
        <f t="shared" si="14"/>
        <v>126.9105021896036</v>
      </c>
      <c r="S37">
        <f t="shared" si="15"/>
        <v>0</v>
      </c>
    </row>
    <row r="38" spans="3:19" x14ac:dyDescent="0.25">
      <c r="C38">
        <v>124.49915519991487</v>
      </c>
      <c r="D38">
        <v>0</v>
      </c>
      <c r="E38">
        <v>0</v>
      </c>
      <c r="G38">
        <v>-19.067433479205192</v>
      </c>
      <c r="I38">
        <v>-40.767043799231423</v>
      </c>
      <c r="K38">
        <v>0</v>
      </c>
      <c r="L38">
        <f t="shared" si="8"/>
        <v>124.49915519991487</v>
      </c>
      <c r="M38">
        <f t="shared" si="9"/>
        <v>-59.834477278436616</v>
      </c>
      <c r="N38">
        <f t="shared" si="10"/>
        <v>0</v>
      </c>
      <c r="O38">
        <f t="shared" si="11"/>
        <v>-124.49915519991487</v>
      </c>
      <c r="P38">
        <f t="shared" si="12"/>
        <v>19.067433479205192</v>
      </c>
      <c r="Q38">
        <f t="shared" si="13"/>
        <v>0</v>
      </c>
      <c r="R38">
        <f t="shared" si="14"/>
        <v>40.767043799231423</v>
      </c>
      <c r="S38">
        <f t="shared" si="15"/>
        <v>0</v>
      </c>
    </row>
    <row r="39" spans="3:19" x14ac:dyDescent="0.25">
      <c r="C39">
        <v>205.09433452633024</v>
      </c>
      <c r="D39">
        <v>0</v>
      </c>
      <c r="E39">
        <v>43.650365961663134</v>
      </c>
      <c r="G39">
        <v>0</v>
      </c>
      <c r="I39">
        <v>-165</v>
      </c>
      <c r="K39">
        <v>0</v>
      </c>
      <c r="L39">
        <f t="shared" si="8"/>
        <v>248.74470048799338</v>
      </c>
      <c r="M39">
        <f t="shared" si="9"/>
        <v>-165</v>
      </c>
      <c r="N39">
        <f t="shared" si="10"/>
        <v>0</v>
      </c>
      <c r="O39">
        <f t="shared" si="11"/>
        <v>-205.09433452633024</v>
      </c>
      <c r="P39">
        <f t="shared" si="12"/>
        <v>0</v>
      </c>
      <c r="Q39">
        <f t="shared" si="13"/>
        <v>-43.650365961663134</v>
      </c>
      <c r="R39">
        <f t="shared" si="14"/>
        <v>165</v>
      </c>
      <c r="S39">
        <f t="shared" si="15"/>
        <v>0</v>
      </c>
    </row>
    <row r="40" spans="3:19" x14ac:dyDescent="0.25">
      <c r="C40">
        <v>197.94531984926769</v>
      </c>
      <c r="D40">
        <v>0</v>
      </c>
      <c r="E40">
        <v>62.33736184807529</v>
      </c>
      <c r="G40">
        <v>0</v>
      </c>
      <c r="I40">
        <v>-165</v>
      </c>
      <c r="K40">
        <v>0</v>
      </c>
      <c r="L40">
        <f t="shared" si="8"/>
        <v>260.28268169734298</v>
      </c>
      <c r="M40">
        <f t="shared" si="9"/>
        <v>-165</v>
      </c>
      <c r="N40">
        <f t="shared" si="10"/>
        <v>0</v>
      </c>
      <c r="O40">
        <f t="shared" si="11"/>
        <v>-197.94531984926769</v>
      </c>
      <c r="P40">
        <f t="shared" si="12"/>
        <v>0</v>
      </c>
      <c r="Q40">
        <f t="shared" si="13"/>
        <v>-62.33736184807529</v>
      </c>
      <c r="R40">
        <f t="shared" si="14"/>
        <v>165</v>
      </c>
      <c r="S40">
        <f t="shared" si="15"/>
        <v>0</v>
      </c>
    </row>
    <row r="41" spans="3:19" x14ac:dyDescent="0.25">
      <c r="C41">
        <v>253.34615008817514</v>
      </c>
      <c r="D41">
        <v>0</v>
      </c>
      <c r="E41">
        <v>0</v>
      </c>
      <c r="G41">
        <v>-190.74246957203667</v>
      </c>
      <c r="I41">
        <v>-81.85445278776217</v>
      </c>
      <c r="K41">
        <v>0</v>
      </c>
      <c r="L41">
        <f t="shared" si="8"/>
        <v>253.34615008817514</v>
      </c>
      <c r="M41">
        <f t="shared" si="9"/>
        <v>-272.59692235979884</v>
      </c>
      <c r="N41">
        <f t="shared" si="10"/>
        <v>0</v>
      </c>
      <c r="O41">
        <f t="shared" si="11"/>
        <v>-253.34615008817514</v>
      </c>
      <c r="P41">
        <f t="shared" si="12"/>
        <v>190.74246957203667</v>
      </c>
      <c r="Q41">
        <f t="shared" si="13"/>
        <v>0</v>
      </c>
      <c r="R41">
        <f t="shared" si="14"/>
        <v>81.85445278776217</v>
      </c>
      <c r="S41">
        <f t="shared" si="15"/>
        <v>0</v>
      </c>
    </row>
    <row r="42" spans="3:19" x14ac:dyDescent="0.25">
      <c r="C42">
        <v>117.86337107788779</v>
      </c>
      <c r="D42">
        <v>129.88077094675796</v>
      </c>
      <c r="E42">
        <v>0</v>
      </c>
      <c r="G42">
        <v>-175.5725908444017</v>
      </c>
      <c r="I42">
        <v>0</v>
      </c>
      <c r="K42">
        <v>0</v>
      </c>
      <c r="L42">
        <f t="shared" si="8"/>
        <v>247.74414202464575</v>
      </c>
      <c r="M42">
        <f t="shared" si="9"/>
        <v>-175.5725908444017</v>
      </c>
      <c r="N42">
        <f t="shared" si="10"/>
        <v>0</v>
      </c>
      <c r="O42">
        <f t="shared" si="11"/>
        <v>-117.86337107788779</v>
      </c>
      <c r="P42">
        <f t="shared" si="12"/>
        <v>175.5725908444017</v>
      </c>
      <c r="Q42">
        <f t="shared" si="13"/>
        <v>0</v>
      </c>
      <c r="R42">
        <f t="shared" si="14"/>
        <v>0</v>
      </c>
      <c r="S42">
        <f t="shared" si="15"/>
        <v>-129.88077094675796</v>
      </c>
    </row>
    <row r="43" spans="3:19" x14ac:dyDescent="0.25">
      <c r="C43">
        <v>92.083798756370044</v>
      </c>
      <c r="D43">
        <v>165</v>
      </c>
      <c r="E43">
        <v>0</v>
      </c>
      <c r="G43">
        <v>-162.07255143487851</v>
      </c>
      <c r="I43">
        <v>0</v>
      </c>
      <c r="K43">
        <v>0</v>
      </c>
      <c r="L43">
        <f t="shared" si="8"/>
        <v>257.08379875637002</v>
      </c>
      <c r="M43">
        <f t="shared" si="9"/>
        <v>-162.07255143487851</v>
      </c>
      <c r="N43">
        <f t="shared" si="10"/>
        <v>0</v>
      </c>
      <c r="O43">
        <f t="shared" si="11"/>
        <v>-92.083798756370044</v>
      </c>
      <c r="P43">
        <f t="shared" si="12"/>
        <v>162.07255143487851</v>
      </c>
      <c r="Q43">
        <f t="shared" si="13"/>
        <v>0</v>
      </c>
      <c r="R43">
        <f t="shared" si="14"/>
        <v>0</v>
      </c>
      <c r="S43">
        <f t="shared" si="15"/>
        <v>-165</v>
      </c>
    </row>
    <row r="44" spans="3:19" x14ac:dyDescent="0.25">
      <c r="C44">
        <v>91.479133335661004</v>
      </c>
      <c r="D44">
        <v>81.90937936246732</v>
      </c>
      <c r="E44">
        <v>0</v>
      </c>
      <c r="G44">
        <v>-94.525164626601182</v>
      </c>
      <c r="I44">
        <v>0</v>
      </c>
      <c r="K44">
        <v>0</v>
      </c>
      <c r="L44">
        <f t="shared" si="8"/>
        <v>173.38851269812832</v>
      </c>
      <c r="M44">
        <f t="shared" si="9"/>
        <v>-94.525164626601182</v>
      </c>
      <c r="N44">
        <f t="shared" si="10"/>
        <v>0</v>
      </c>
      <c r="O44">
        <f t="shared" si="11"/>
        <v>-91.479133335661004</v>
      </c>
      <c r="P44">
        <f t="shared" si="12"/>
        <v>94.525164626601182</v>
      </c>
      <c r="Q44">
        <f t="shared" si="13"/>
        <v>0</v>
      </c>
      <c r="R44">
        <f t="shared" si="14"/>
        <v>0</v>
      </c>
      <c r="S44">
        <f t="shared" si="15"/>
        <v>-81.90937936246732</v>
      </c>
    </row>
    <row r="45" spans="3:19" x14ac:dyDescent="0.25">
      <c r="C45">
        <v>179.85291377377092</v>
      </c>
      <c r="D45">
        <v>0</v>
      </c>
      <c r="E45">
        <v>0</v>
      </c>
      <c r="G45">
        <v>-180.25351152878611</v>
      </c>
      <c r="I45">
        <v>-60.615025633108814</v>
      </c>
      <c r="K45">
        <v>0</v>
      </c>
      <c r="L45">
        <f t="shared" si="8"/>
        <v>179.85291377377092</v>
      </c>
      <c r="M45">
        <f t="shared" si="9"/>
        <v>-240.86853716189492</v>
      </c>
      <c r="N45">
        <f t="shared" si="10"/>
        <v>0</v>
      </c>
      <c r="O45">
        <f t="shared" si="11"/>
        <v>-179.85291377377092</v>
      </c>
      <c r="P45">
        <f t="shared" si="12"/>
        <v>180.25351152878611</v>
      </c>
      <c r="Q45">
        <f t="shared" si="13"/>
        <v>0</v>
      </c>
      <c r="R45">
        <f t="shared" si="14"/>
        <v>60.615025633108814</v>
      </c>
      <c r="S45">
        <f t="shared" si="15"/>
        <v>0</v>
      </c>
    </row>
    <row r="46" spans="3:19" x14ac:dyDescent="0.25">
      <c r="C46">
        <v>102.47325431900556</v>
      </c>
      <c r="D46">
        <v>0</v>
      </c>
      <c r="E46">
        <v>0</v>
      </c>
      <c r="G46">
        <v>-10.904128770826219</v>
      </c>
      <c r="I46">
        <v>-56.596812784455082</v>
      </c>
      <c r="K46">
        <v>0</v>
      </c>
      <c r="L46">
        <f t="shared" si="8"/>
        <v>102.47325431900556</v>
      </c>
      <c r="M46">
        <f t="shared" si="9"/>
        <v>-67.500941555281301</v>
      </c>
      <c r="N46">
        <f t="shared" si="10"/>
        <v>0</v>
      </c>
      <c r="O46">
        <f t="shared" si="11"/>
        <v>-102.47325431900556</v>
      </c>
      <c r="P46">
        <f t="shared" si="12"/>
        <v>10.904128770826219</v>
      </c>
      <c r="Q46">
        <f t="shared" si="13"/>
        <v>0</v>
      </c>
      <c r="R46">
        <f t="shared" si="14"/>
        <v>56.596812784455082</v>
      </c>
      <c r="S46">
        <f t="shared" si="15"/>
        <v>0</v>
      </c>
    </row>
    <row r="47" spans="3:19" x14ac:dyDescent="0.25">
      <c r="C47">
        <v>110.84025225820039</v>
      </c>
      <c r="D47">
        <v>0</v>
      </c>
      <c r="E47">
        <v>0</v>
      </c>
      <c r="G47">
        <v>-22.744997680384927</v>
      </c>
      <c r="I47">
        <v>-70.490249887860614</v>
      </c>
      <c r="K47">
        <v>0</v>
      </c>
      <c r="L47">
        <f t="shared" si="8"/>
        <v>110.84025225820039</v>
      </c>
      <c r="M47">
        <f t="shared" si="9"/>
        <v>-93.235247568245541</v>
      </c>
      <c r="N47">
        <f t="shared" si="10"/>
        <v>0</v>
      </c>
      <c r="O47">
        <f t="shared" si="11"/>
        <v>-110.84025225820039</v>
      </c>
      <c r="P47">
        <f t="shared" si="12"/>
        <v>22.744997680384927</v>
      </c>
      <c r="Q47">
        <f t="shared" si="13"/>
        <v>0</v>
      </c>
      <c r="R47">
        <f t="shared" si="14"/>
        <v>70.490249887860614</v>
      </c>
      <c r="S47">
        <f t="shared" si="15"/>
        <v>0</v>
      </c>
    </row>
    <row r="48" spans="3:19" x14ac:dyDescent="0.25">
      <c r="C48">
        <v>111.23903188238808</v>
      </c>
      <c r="D48">
        <v>0</v>
      </c>
      <c r="E48">
        <v>0</v>
      </c>
      <c r="G48">
        <v>-20.68339467211581</v>
      </c>
      <c r="I48">
        <v>-74.694195765697415</v>
      </c>
      <c r="K48">
        <v>0</v>
      </c>
      <c r="L48">
        <f t="shared" si="8"/>
        <v>111.23903188238808</v>
      </c>
      <c r="M48">
        <f t="shared" si="9"/>
        <v>-95.377590437813225</v>
      </c>
      <c r="N48">
        <f t="shared" si="10"/>
        <v>0</v>
      </c>
      <c r="O48">
        <f t="shared" si="11"/>
        <v>-111.23903188238808</v>
      </c>
      <c r="P48">
        <f t="shared" si="12"/>
        <v>20.68339467211581</v>
      </c>
      <c r="Q48">
        <f t="shared" si="13"/>
        <v>0</v>
      </c>
      <c r="R48">
        <f t="shared" si="14"/>
        <v>74.694195765697415</v>
      </c>
      <c r="S48">
        <f t="shared" si="15"/>
        <v>0</v>
      </c>
    </row>
    <row r="49" spans="2:19" x14ac:dyDescent="0.25">
      <c r="C49">
        <v>66.67544362742575</v>
      </c>
      <c r="D49">
        <v>18.095321409295821</v>
      </c>
      <c r="E49">
        <v>27.214881899503556</v>
      </c>
      <c r="G49">
        <v>0</v>
      </c>
      <c r="I49">
        <v>0</v>
      </c>
      <c r="K49">
        <v>0</v>
      </c>
      <c r="L49">
        <f t="shared" si="8"/>
        <v>111.98564693622512</v>
      </c>
      <c r="M49">
        <f t="shared" si="9"/>
        <v>0</v>
      </c>
      <c r="N49">
        <f t="shared" si="10"/>
        <v>0</v>
      </c>
      <c r="O49">
        <f t="shared" si="11"/>
        <v>-66.67544362742575</v>
      </c>
      <c r="P49">
        <f t="shared" si="12"/>
        <v>0</v>
      </c>
      <c r="Q49">
        <f t="shared" si="13"/>
        <v>-27.214881899503556</v>
      </c>
      <c r="R49">
        <f t="shared" si="14"/>
        <v>0</v>
      </c>
      <c r="S49">
        <f t="shared" si="15"/>
        <v>-18.095321409295821</v>
      </c>
    </row>
    <row r="50" spans="2:19" x14ac:dyDescent="0.25">
      <c r="C50">
        <v>67.292986686109018</v>
      </c>
      <c r="D50">
        <v>0</v>
      </c>
      <c r="E50">
        <v>63.360354464908937</v>
      </c>
      <c r="G50">
        <v>0</v>
      </c>
      <c r="I50">
        <v>-39.511667934101354</v>
      </c>
      <c r="K50">
        <v>0</v>
      </c>
      <c r="L50">
        <f t="shared" si="8"/>
        <v>130.65334115101797</v>
      </c>
      <c r="M50">
        <f t="shared" si="9"/>
        <v>-39.511667934101354</v>
      </c>
      <c r="N50">
        <f t="shared" si="10"/>
        <v>0</v>
      </c>
      <c r="O50">
        <f t="shared" si="11"/>
        <v>-67.292986686109018</v>
      </c>
      <c r="P50">
        <f t="shared" si="12"/>
        <v>0</v>
      </c>
      <c r="Q50">
        <f t="shared" si="13"/>
        <v>-63.360354464908937</v>
      </c>
      <c r="R50">
        <f t="shared" si="14"/>
        <v>39.511667934101354</v>
      </c>
      <c r="S50">
        <f t="shared" si="15"/>
        <v>0</v>
      </c>
    </row>
    <row r="51" spans="2:19" x14ac:dyDescent="0.25">
      <c r="C51">
        <v>216.38367529018092</v>
      </c>
      <c r="D51">
        <v>0</v>
      </c>
      <c r="E51">
        <v>16.139867300022107</v>
      </c>
      <c r="G51">
        <v>0</v>
      </c>
      <c r="I51">
        <v>-165</v>
      </c>
      <c r="K51">
        <v>0</v>
      </c>
      <c r="L51">
        <f t="shared" si="8"/>
        <v>232.52354259020302</v>
      </c>
      <c r="M51">
        <f t="shared" si="9"/>
        <v>-165</v>
      </c>
      <c r="N51">
        <f t="shared" si="10"/>
        <v>0</v>
      </c>
      <c r="O51">
        <f t="shared" si="11"/>
        <v>-216.38367529018092</v>
      </c>
      <c r="P51">
        <f t="shared" si="12"/>
        <v>0</v>
      </c>
      <c r="Q51">
        <f t="shared" si="13"/>
        <v>-16.139867300022107</v>
      </c>
      <c r="R51">
        <f t="shared" si="14"/>
        <v>165</v>
      </c>
      <c r="S51">
        <f t="shared" si="15"/>
        <v>0</v>
      </c>
    </row>
    <row r="52" spans="2:19" x14ac:dyDescent="0.25">
      <c r="C52">
        <v>218.51747483128543</v>
      </c>
      <c r="D52">
        <v>0</v>
      </c>
      <c r="E52">
        <v>3.7858111947017505</v>
      </c>
      <c r="G52">
        <v>0</v>
      </c>
      <c r="I52">
        <v>-162.98459128096809</v>
      </c>
      <c r="K52">
        <v>0</v>
      </c>
      <c r="L52">
        <f t="shared" si="8"/>
        <v>222.30328602598718</v>
      </c>
      <c r="M52">
        <f t="shared" si="9"/>
        <v>-162.98459128096809</v>
      </c>
      <c r="N52">
        <f t="shared" si="10"/>
        <v>0</v>
      </c>
      <c r="O52">
        <f t="shared" si="11"/>
        <v>-218.51747483128543</v>
      </c>
      <c r="P52">
        <f t="shared" si="12"/>
        <v>0</v>
      </c>
      <c r="Q52">
        <f t="shared" si="13"/>
        <v>-3.7858111947017505</v>
      </c>
      <c r="R52">
        <f t="shared" si="14"/>
        <v>162.98459128096809</v>
      </c>
      <c r="S52">
        <f t="shared" si="15"/>
        <v>0</v>
      </c>
    </row>
    <row r="53" spans="2:19" x14ac:dyDescent="0.25">
      <c r="C53">
        <v>127.72432840408324</v>
      </c>
      <c r="D53">
        <v>0</v>
      </c>
      <c r="E53">
        <v>0</v>
      </c>
      <c r="G53">
        <v>-106.6788520416394</v>
      </c>
      <c r="I53">
        <v>-60.817146169559123</v>
      </c>
      <c r="K53">
        <v>0</v>
      </c>
      <c r="L53">
        <f t="shared" si="8"/>
        <v>127.72432840408324</v>
      </c>
      <c r="M53">
        <f t="shared" si="9"/>
        <v>-167.49599821119853</v>
      </c>
      <c r="N53">
        <f t="shared" si="10"/>
        <v>0</v>
      </c>
      <c r="O53">
        <f t="shared" si="11"/>
        <v>-127.72432840408324</v>
      </c>
      <c r="P53">
        <f t="shared" si="12"/>
        <v>106.6788520416394</v>
      </c>
      <c r="Q53">
        <f t="shared" si="13"/>
        <v>0</v>
      </c>
      <c r="R53">
        <f t="shared" si="14"/>
        <v>60.817146169559123</v>
      </c>
      <c r="S53">
        <f t="shared" si="15"/>
        <v>0</v>
      </c>
    </row>
    <row r="54" spans="2:19" x14ac:dyDescent="0.25">
      <c r="C54">
        <v>66.457344858382967</v>
      </c>
      <c r="D54">
        <v>144.88376286680267</v>
      </c>
      <c r="E54">
        <v>0</v>
      </c>
      <c r="G54">
        <v>-58.468054641207686</v>
      </c>
      <c r="I54">
        <v>0</v>
      </c>
      <c r="K54">
        <v>0</v>
      </c>
      <c r="L54">
        <f t="shared" si="8"/>
        <v>211.34110772518562</v>
      </c>
      <c r="M54">
        <f t="shared" si="9"/>
        <v>-58.468054641207686</v>
      </c>
      <c r="N54">
        <f t="shared" si="10"/>
        <v>0</v>
      </c>
      <c r="O54">
        <f t="shared" si="11"/>
        <v>-66.457344858382967</v>
      </c>
      <c r="P54">
        <f t="shared" si="12"/>
        <v>58.468054641207686</v>
      </c>
      <c r="Q54">
        <f t="shared" si="13"/>
        <v>0</v>
      </c>
      <c r="R54">
        <f t="shared" si="14"/>
        <v>0</v>
      </c>
      <c r="S54">
        <f t="shared" si="15"/>
        <v>-144.88376286680267</v>
      </c>
    </row>
    <row r="55" spans="2:19" x14ac:dyDescent="0.25">
      <c r="C55">
        <v>83.635596989426517</v>
      </c>
      <c r="D55">
        <v>58.045097539069118</v>
      </c>
      <c r="E55">
        <v>3.0284546629160332</v>
      </c>
      <c r="G55">
        <v>0</v>
      </c>
      <c r="I55">
        <v>0</v>
      </c>
      <c r="K55">
        <v>0</v>
      </c>
      <c r="L55">
        <f t="shared" si="8"/>
        <v>144.70914919141165</v>
      </c>
      <c r="M55">
        <f t="shared" si="9"/>
        <v>0</v>
      </c>
      <c r="N55">
        <f t="shared" si="10"/>
        <v>0</v>
      </c>
      <c r="O55">
        <f t="shared" si="11"/>
        <v>-83.635596989426517</v>
      </c>
      <c r="P55">
        <f t="shared" si="12"/>
        <v>0</v>
      </c>
      <c r="Q55">
        <f t="shared" si="13"/>
        <v>-3.0284546629160332</v>
      </c>
      <c r="R55">
        <f t="shared" si="14"/>
        <v>0</v>
      </c>
      <c r="S55">
        <f t="shared" si="15"/>
        <v>-58.045097539069118</v>
      </c>
    </row>
    <row r="56" spans="2:19" x14ac:dyDescent="0.25">
      <c r="C56">
        <v>90.631821405195865</v>
      </c>
      <c r="D56">
        <v>27.464626958136591</v>
      </c>
      <c r="E56">
        <v>37.508664791816955</v>
      </c>
      <c r="G56">
        <v>0</v>
      </c>
      <c r="I56">
        <v>0</v>
      </c>
      <c r="K56">
        <v>0</v>
      </c>
      <c r="L56">
        <f t="shared" si="8"/>
        <v>155.60511315514941</v>
      </c>
      <c r="M56">
        <f t="shared" si="9"/>
        <v>0</v>
      </c>
      <c r="N56">
        <f t="shared" si="10"/>
        <v>0</v>
      </c>
      <c r="O56">
        <f t="shared" si="11"/>
        <v>-90.631821405195865</v>
      </c>
      <c r="P56">
        <f t="shared" si="12"/>
        <v>0</v>
      </c>
      <c r="Q56">
        <f t="shared" si="13"/>
        <v>-37.508664791816955</v>
      </c>
      <c r="R56">
        <f t="shared" si="14"/>
        <v>0</v>
      </c>
      <c r="S56">
        <f t="shared" si="15"/>
        <v>-27.464626958136591</v>
      </c>
    </row>
    <row r="57" spans="2:19" x14ac:dyDescent="0.25">
      <c r="C57">
        <v>78.683029074786759</v>
      </c>
      <c r="D57">
        <v>0</v>
      </c>
      <c r="E57">
        <v>37.988745047676844</v>
      </c>
      <c r="G57">
        <v>0</v>
      </c>
      <c r="I57">
        <v>-33.111161700893376</v>
      </c>
      <c r="K57">
        <v>0</v>
      </c>
      <c r="L57">
        <f t="shared" si="8"/>
        <v>116.6717741224636</v>
      </c>
      <c r="M57">
        <f t="shared" si="9"/>
        <v>-33.111161700893376</v>
      </c>
      <c r="N57">
        <f t="shared" si="10"/>
        <v>0</v>
      </c>
      <c r="O57">
        <f t="shared" si="11"/>
        <v>-78.683029074786759</v>
      </c>
      <c r="P57">
        <f t="shared" si="12"/>
        <v>0</v>
      </c>
      <c r="Q57">
        <f t="shared" si="13"/>
        <v>-37.988745047676844</v>
      </c>
      <c r="R57">
        <f t="shared" si="14"/>
        <v>33.111161700893376</v>
      </c>
      <c r="S57">
        <f t="shared" si="15"/>
        <v>0</v>
      </c>
    </row>
    <row r="61" spans="2:19" x14ac:dyDescent="0.25">
      <c r="B61" s="28">
        <v>2050</v>
      </c>
    </row>
    <row r="63" spans="2:19" x14ac:dyDescent="0.25">
      <c r="C63" t="s">
        <v>48</v>
      </c>
      <c r="G63" t="s">
        <v>47</v>
      </c>
      <c r="I63" t="s">
        <v>28</v>
      </c>
      <c r="K63" t="s">
        <v>25</v>
      </c>
      <c r="L63" t="s">
        <v>56</v>
      </c>
      <c r="N63" t="s">
        <v>59</v>
      </c>
      <c r="P63" t="s">
        <v>60</v>
      </c>
      <c r="R63" t="s">
        <v>61</v>
      </c>
    </row>
    <row r="64" spans="2:19" x14ac:dyDescent="0.25">
      <c r="C64" t="s">
        <v>44</v>
      </c>
      <c r="D64" t="s">
        <v>45</v>
      </c>
      <c r="E64" t="s">
        <v>46</v>
      </c>
      <c r="G64" t="s">
        <v>46</v>
      </c>
      <c r="I64" t="s">
        <v>45</v>
      </c>
      <c r="K64" t="s">
        <v>44</v>
      </c>
      <c r="L64" t="s">
        <v>57</v>
      </c>
      <c r="M64" t="s">
        <v>58</v>
      </c>
      <c r="N64" t="s">
        <v>57</v>
      </c>
      <c r="O64" t="s">
        <v>58</v>
      </c>
      <c r="P64" t="s">
        <v>57</v>
      </c>
      <c r="Q64" t="s">
        <v>58</v>
      </c>
      <c r="R64" t="s">
        <v>57</v>
      </c>
      <c r="S64" t="s">
        <v>58</v>
      </c>
    </row>
    <row r="65" spans="3:19" x14ac:dyDescent="0.25">
      <c r="C65">
        <v>390</v>
      </c>
      <c r="D65">
        <v>3.7479469988984988</v>
      </c>
      <c r="E65">
        <v>0</v>
      </c>
      <c r="G65">
        <v>-260</v>
      </c>
      <c r="I65">
        <v>0</v>
      </c>
      <c r="K65">
        <v>0</v>
      </c>
      <c r="L65">
        <f>$C65+$D65+$E65</f>
        <v>393.7479469988985</v>
      </c>
      <c r="M65">
        <f>G65+I65+K65</f>
        <v>-260</v>
      </c>
      <c r="N65">
        <f>-K65</f>
        <v>0</v>
      </c>
      <c r="O65">
        <f>-C65</f>
        <v>-390</v>
      </c>
      <c r="P65">
        <f>-G65</f>
        <v>260</v>
      </c>
      <c r="Q65">
        <f>-E65</f>
        <v>0</v>
      </c>
      <c r="R65">
        <f>-I65</f>
        <v>0</v>
      </c>
      <c r="S65">
        <f>-D65</f>
        <v>-3.7479469988984988</v>
      </c>
    </row>
    <row r="66" spans="3:19" x14ac:dyDescent="0.25">
      <c r="C66">
        <v>390</v>
      </c>
      <c r="D66">
        <v>2.7040257616534404</v>
      </c>
      <c r="E66">
        <v>0</v>
      </c>
      <c r="G66">
        <v>-260</v>
      </c>
      <c r="I66">
        <v>0</v>
      </c>
      <c r="K66">
        <v>0</v>
      </c>
      <c r="L66">
        <f t="shared" ref="L66:L88" si="16">C66+D66+E66</f>
        <v>392.70402576165344</v>
      </c>
      <c r="M66">
        <f t="shared" ref="M66:M88" si="17">G66+I66+K66</f>
        <v>-260</v>
      </c>
      <c r="N66">
        <f t="shared" ref="N66:N87" si="18">-K66</f>
        <v>0</v>
      </c>
      <c r="O66">
        <f t="shared" ref="O66:O88" si="19">-C66</f>
        <v>-390</v>
      </c>
      <c r="P66">
        <f t="shared" ref="P66:P88" si="20">-G66</f>
        <v>260</v>
      </c>
      <c r="Q66">
        <f t="shared" ref="Q66:Q88" si="21">-E66</f>
        <v>0</v>
      </c>
      <c r="R66">
        <f t="shared" ref="R66:R88" si="22">-I66</f>
        <v>0</v>
      </c>
      <c r="S66">
        <f t="shared" ref="S66:S88" si="23">-D66</f>
        <v>-2.7040257616534404</v>
      </c>
    </row>
    <row r="67" spans="3:19" x14ac:dyDescent="0.25">
      <c r="C67">
        <v>390</v>
      </c>
      <c r="D67">
        <v>2.5233079226772466</v>
      </c>
      <c r="E67">
        <v>0</v>
      </c>
      <c r="G67">
        <v>-260</v>
      </c>
      <c r="I67">
        <v>0</v>
      </c>
      <c r="K67">
        <v>0</v>
      </c>
      <c r="L67">
        <f t="shared" si="16"/>
        <v>392.52330792267725</v>
      </c>
      <c r="M67">
        <f t="shared" si="17"/>
        <v>-260</v>
      </c>
      <c r="N67">
        <f t="shared" si="18"/>
        <v>0</v>
      </c>
      <c r="O67">
        <f t="shared" si="19"/>
        <v>-390</v>
      </c>
      <c r="P67">
        <f t="shared" si="20"/>
        <v>260</v>
      </c>
      <c r="Q67">
        <f t="shared" si="21"/>
        <v>0</v>
      </c>
      <c r="R67">
        <f t="shared" si="22"/>
        <v>0</v>
      </c>
      <c r="S67">
        <f t="shared" si="23"/>
        <v>-2.5233079226772466</v>
      </c>
    </row>
    <row r="68" spans="3:19" x14ac:dyDescent="0.25">
      <c r="C68">
        <v>362.6442007380021</v>
      </c>
      <c r="D68">
        <v>0</v>
      </c>
      <c r="E68">
        <v>0</v>
      </c>
      <c r="G68">
        <v>-260</v>
      </c>
      <c r="I68">
        <v>-30.167015855155629</v>
      </c>
      <c r="K68">
        <v>0</v>
      </c>
      <c r="L68">
        <f t="shared" si="16"/>
        <v>362.6442007380021</v>
      </c>
      <c r="M68">
        <f t="shared" si="17"/>
        <v>-290.16701585515563</v>
      </c>
      <c r="N68">
        <f t="shared" si="18"/>
        <v>0</v>
      </c>
      <c r="O68">
        <f t="shared" si="19"/>
        <v>-362.6442007380021</v>
      </c>
      <c r="P68">
        <f t="shared" si="20"/>
        <v>260</v>
      </c>
      <c r="Q68">
        <f t="shared" si="21"/>
        <v>0</v>
      </c>
      <c r="R68">
        <f t="shared" si="22"/>
        <v>30.167015855155629</v>
      </c>
      <c r="S68">
        <f t="shared" si="23"/>
        <v>0</v>
      </c>
    </row>
    <row r="69" spans="3:19" x14ac:dyDescent="0.25">
      <c r="C69">
        <v>208.48172395240263</v>
      </c>
      <c r="D69">
        <v>0</v>
      </c>
      <c r="E69">
        <v>5.6808144641696572</v>
      </c>
      <c r="G69">
        <v>0</v>
      </c>
      <c r="I69">
        <v>-90.575699616588622</v>
      </c>
      <c r="K69">
        <v>0</v>
      </c>
      <c r="L69">
        <f t="shared" si="16"/>
        <v>214.16253841657229</v>
      </c>
      <c r="M69">
        <f t="shared" si="17"/>
        <v>-90.575699616588622</v>
      </c>
      <c r="N69">
        <f t="shared" si="18"/>
        <v>0</v>
      </c>
      <c r="O69">
        <f t="shared" si="19"/>
        <v>-208.48172395240263</v>
      </c>
      <c r="P69">
        <f t="shared" si="20"/>
        <v>0</v>
      </c>
      <c r="Q69">
        <f t="shared" si="21"/>
        <v>-5.6808144641696572</v>
      </c>
      <c r="R69">
        <f t="shared" si="22"/>
        <v>90.575699616588622</v>
      </c>
      <c r="S69">
        <f t="shared" si="23"/>
        <v>0</v>
      </c>
    </row>
    <row r="70" spans="3:19" x14ac:dyDescent="0.25">
      <c r="C70">
        <v>208.40776335858746</v>
      </c>
      <c r="D70">
        <v>0</v>
      </c>
      <c r="E70">
        <v>141.99370404660192</v>
      </c>
      <c r="G70">
        <v>0</v>
      </c>
      <c r="I70">
        <v>-90.847863468679108</v>
      </c>
      <c r="K70">
        <v>0</v>
      </c>
      <c r="L70">
        <f t="shared" si="16"/>
        <v>350.40146740518935</v>
      </c>
      <c r="M70">
        <f t="shared" si="17"/>
        <v>-90.847863468679108</v>
      </c>
      <c r="N70">
        <f t="shared" si="18"/>
        <v>0</v>
      </c>
      <c r="O70">
        <f t="shared" si="19"/>
        <v>-208.40776335858746</v>
      </c>
      <c r="P70">
        <f t="shared" si="20"/>
        <v>0</v>
      </c>
      <c r="Q70">
        <f t="shared" si="21"/>
        <v>-141.99370404660192</v>
      </c>
      <c r="R70">
        <f t="shared" si="22"/>
        <v>90.847863468679108</v>
      </c>
      <c r="S70">
        <f t="shared" si="23"/>
        <v>0</v>
      </c>
    </row>
    <row r="71" spans="3:19" x14ac:dyDescent="0.25">
      <c r="C71">
        <v>221.67726017527647</v>
      </c>
      <c r="D71">
        <v>0</v>
      </c>
      <c r="E71">
        <v>52.117796789558511</v>
      </c>
      <c r="G71">
        <v>0</v>
      </c>
      <c r="I71">
        <v>-92.572095397072516</v>
      </c>
      <c r="K71">
        <v>0</v>
      </c>
      <c r="L71">
        <f t="shared" si="16"/>
        <v>273.795056964835</v>
      </c>
      <c r="M71">
        <f t="shared" si="17"/>
        <v>-92.572095397072516</v>
      </c>
      <c r="N71">
        <f t="shared" si="18"/>
        <v>0</v>
      </c>
      <c r="O71">
        <f t="shared" si="19"/>
        <v>-221.67726017527647</v>
      </c>
      <c r="P71">
        <f t="shared" si="20"/>
        <v>0</v>
      </c>
      <c r="Q71">
        <f t="shared" si="21"/>
        <v>-52.117796789558511</v>
      </c>
      <c r="R71">
        <f t="shared" si="22"/>
        <v>92.572095397072516</v>
      </c>
      <c r="S71">
        <f t="shared" si="23"/>
        <v>0</v>
      </c>
    </row>
    <row r="72" spans="3:19" x14ac:dyDescent="0.25">
      <c r="C72">
        <v>212.89357605778909</v>
      </c>
      <c r="D72">
        <v>0.59401600096083462</v>
      </c>
      <c r="E72">
        <v>0</v>
      </c>
      <c r="G72">
        <v>-14.814644393708193</v>
      </c>
      <c r="I72">
        <v>0</v>
      </c>
      <c r="K72">
        <v>0</v>
      </c>
      <c r="L72">
        <f t="shared" si="16"/>
        <v>213.48759205874993</v>
      </c>
      <c r="M72">
        <f t="shared" si="17"/>
        <v>-14.814644393708193</v>
      </c>
      <c r="N72">
        <f t="shared" si="18"/>
        <v>0</v>
      </c>
      <c r="O72">
        <f t="shared" si="19"/>
        <v>-212.89357605778909</v>
      </c>
      <c r="P72">
        <f t="shared" si="20"/>
        <v>14.814644393708193</v>
      </c>
      <c r="Q72">
        <f t="shared" si="21"/>
        <v>0</v>
      </c>
      <c r="R72">
        <f t="shared" si="22"/>
        <v>0</v>
      </c>
      <c r="S72">
        <f t="shared" si="23"/>
        <v>-0.59401600096083462</v>
      </c>
    </row>
    <row r="73" spans="3:19" x14ac:dyDescent="0.25">
      <c r="C73">
        <v>282.40799865515294</v>
      </c>
      <c r="D73">
        <v>0</v>
      </c>
      <c r="E73">
        <v>0</v>
      </c>
      <c r="G73">
        <v>-235.03052271684197</v>
      </c>
      <c r="I73">
        <v>-84.282587215299486</v>
      </c>
      <c r="K73">
        <v>0</v>
      </c>
      <c r="L73">
        <f t="shared" si="16"/>
        <v>282.40799865515294</v>
      </c>
      <c r="M73">
        <f t="shared" si="17"/>
        <v>-319.31310993214146</v>
      </c>
      <c r="N73">
        <f t="shared" si="18"/>
        <v>0</v>
      </c>
      <c r="O73">
        <f t="shared" si="19"/>
        <v>-282.40799865515294</v>
      </c>
      <c r="P73">
        <f t="shared" si="20"/>
        <v>235.03052271684197</v>
      </c>
      <c r="Q73">
        <f t="shared" si="21"/>
        <v>0</v>
      </c>
      <c r="R73">
        <f t="shared" si="22"/>
        <v>84.282587215299486</v>
      </c>
      <c r="S73">
        <f t="shared" si="23"/>
        <v>0</v>
      </c>
    </row>
    <row r="74" spans="3:19" x14ac:dyDescent="0.25">
      <c r="C74">
        <v>250.84185121591813</v>
      </c>
      <c r="D74">
        <v>39.283780018431344</v>
      </c>
      <c r="E74">
        <v>0</v>
      </c>
      <c r="G74">
        <v>-195.48081709192252</v>
      </c>
      <c r="I74">
        <v>0</v>
      </c>
      <c r="K74">
        <v>0</v>
      </c>
      <c r="L74">
        <f t="shared" si="16"/>
        <v>290.1256312343495</v>
      </c>
      <c r="M74">
        <f t="shared" si="17"/>
        <v>-195.48081709192252</v>
      </c>
      <c r="N74">
        <f t="shared" si="18"/>
        <v>0</v>
      </c>
      <c r="O74">
        <f t="shared" si="19"/>
        <v>-250.84185121591813</v>
      </c>
      <c r="P74">
        <f t="shared" si="20"/>
        <v>195.48081709192252</v>
      </c>
      <c r="Q74">
        <f t="shared" si="21"/>
        <v>0</v>
      </c>
      <c r="R74">
        <f t="shared" si="22"/>
        <v>0</v>
      </c>
      <c r="S74">
        <f t="shared" si="23"/>
        <v>-39.283780018431344</v>
      </c>
    </row>
    <row r="75" spans="3:19" x14ac:dyDescent="0.25">
      <c r="C75">
        <v>257.78068786859023</v>
      </c>
      <c r="D75">
        <v>39.750120170820253</v>
      </c>
      <c r="E75">
        <v>0</v>
      </c>
      <c r="G75">
        <v>-196.44754651691122</v>
      </c>
      <c r="I75">
        <v>0</v>
      </c>
      <c r="K75">
        <v>0</v>
      </c>
      <c r="L75">
        <f t="shared" si="16"/>
        <v>297.53080803941049</v>
      </c>
      <c r="M75">
        <f t="shared" si="17"/>
        <v>-196.44754651691122</v>
      </c>
      <c r="N75">
        <f t="shared" si="18"/>
        <v>0</v>
      </c>
      <c r="O75">
        <f t="shared" si="19"/>
        <v>-257.78068786859023</v>
      </c>
      <c r="P75">
        <f t="shared" si="20"/>
        <v>196.44754651691122</v>
      </c>
      <c r="Q75">
        <f t="shared" si="21"/>
        <v>0</v>
      </c>
      <c r="R75">
        <f t="shared" si="22"/>
        <v>0</v>
      </c>
      <c r="S75">
        <f t="shared" si="23"/>
        <v>-39.750120170820253</v>
      </c>
    </row>
    <row r="76" spans="3:19" x14ac:dyDescent="0.25">
      <c r="C76">
        <v>345.28528492668437</v>
      </c>
      <c r="D76">
        <v>20.000045008631332</v>
      </c>
      <c r="E76">
        <v>0</v>
      </c>
      <c r="G76">
        <v>-230.4802626851581</v>
      </c>
      <c r="I76">
        <v>0</v>
      </c>
      <c r="K76">
        <v>0</v>
      </c>
      <c r="L76">
        <f t="shared" si="16"/>
        <v>365.2853299353157</v>
      </c>
      <c r="M76">
        <f t="shared" si="17"/>
        <v>-230.4802626851581</v>
      </c>
      <c r="N76">
        <f t="shared" si="18"/>
        <v>0</v>
      </c>
      <c r="O76">
        <f t="shared" si="19"/>
        <v>-345.28528492668437</v>
      </c>
      <c r="P76">
        <f t="shared" si="20"/>
        <v>230.4802626851581</v>
      </c>
      <c r="Q76">
        <f t="shared" si="21"/>
        <v>0</v>
      </c>
      <c r="R76">
        <f t="shared" si="22"/>
        <v>0</v>
      </c>
      <c r="S76">
        <f t="shared" si="23"/>
        <v>-20.000045008631332</v>
      </c>
    </row>
    <row r="77" spans="3:19" x14ac:dyDescent="0.25">
      <c r="C77">
        <v>266.2287439685112</v>
      </c>
      <c r="D77">
        <v>24.89031445137892</v>
      </c>
      <c r="E77">
        <v>0</v>
      </c>
      <c r="G77">
        <v>-260</v>
      </c>
      <c r="I77">
        <v>0</v>
      </c>
      <c r="K77">
        <v>0</v>
      </c>
      <c r="L77">
        <f t="shared" si="16"/>
        <v>291.11905841989011</v>
      </c>
      <c r="M77">
        <f t="shared" si="17"/>
        <v>-260</v>
      </c>
      <c r="N77">
        <f t="shared" si="18"/>
        <v>0</v>
      </c>
      <c r="O77">
        <f t="shared" si="19"/>
        <v>-266.2287439685112</v>
      </c>
      <c r="P77">
        <f t="shared" si="20"/>
        <v>260</v>
      </c>
      <c r="Q77">
        <f t="shared" si="21"/>
        <v>0</v>
      </c>
      <c r="R77">
        <f t="shared" si="22"/>
        <v>0</v>
      </c>
      <c r="S77">
        <f t="shared" si="23"/>
        <v>-24.89031445137892</v>
      </c>
    </row>
    <row r="78" spans="3:19" x14ac:dyDescent="0.25">
      <c r="C78">
        <v>273.94711804419222</v>
      </c>
      <c r="D78">
        <v>22.434196698699974</v>
      </c>
      <c r="E78">
        <v>0</v>
      </c>
      <c r="G78">
        <v>-260</v>
      </c>
      <c r="I78">
        <v>0</v>
      </c>
      <c r="K78">
        <v>0</v>
      </c>
      <c r="L78">
        <f t="shared" si="16"/>
        <v>296.38131474289219</v>
      </c>
      <c r="M78">
        <f t="shared" si="17"/>
        <v>-260</v>
      </c>
      <c r="N78">
        <f t="shared" si="18"/>
        <v>0</v>
      </c>
      <c r="O78">
        <f t="shared" si="19"/>
        <v>-273.94711804419222</v>
      </c>
      <c r="P78">
        <f t="shared" si="20"/>
        <v>260</v>
      </c>
      <c r="Q78">
        <f t="shared" si="21"/>
        <v>0</v>
      </c>
      <c r="R78">
        <f t="shared" si="22"/>
        <v>0</v>
      </c>
      <c r="S78">
        <f t="shared" si="23"/>
        <v>-22.434196698699974</v>
      </c>
    </row>
    <row r="79" spans="3:19" x14ac:dyDescent="0.25">
      <c r="C79">
        <v>274.26963758367594</v>
      </c>
      <c r="D79">
        <v>21.922984550865287</v>
      </c>
      <c r="E79">
        <v>0</v>
      </c>
      <c r="G79">
        <v>-260</v>
      </c>
      <c r="I79">
        <v>0</v>
      </c>
      <c r="K79">
        <v>0</v>
      </c>
      <c r="L79">
        <f t="shared" si="16"/>
        <v>296.19262213454124</v>
      </c>
      <c r="M79">
        <f t="shared" si="17"/>
        <v>-260</v>
      </c>
      <c r="N79">
        <f t="shared" si="18"/>
        <v>0</v>
      </c>
      <c r="O79">
        <f t="shared" si="19"/>
        <v>-274.26963758367594</v>
      </c>
      <c r="P79">
        <f t="shared" si="20"/>
        <v>260</v>
      </c>
      <c r="Q79">
        <f t="shared" si="21"/>
        <v>0</v>
      </c>
      <c r="R79">
        <f t="shared" si="22"/>
        <v>0</v>
      </c>
      <c r="S79">
        <f t="shared" si="23"/>
        <v>-21.922984550865287</v>
      </c>
    </row>
    <row r="80" spans="3:19" x14ac:dyDescent="0.25">
      <c r="C80">
        <v>229.85056193851719</v>
      </c>
      <c r="D80">
        <v>0</v>
      </c>
      <c r="E80">
        <v>0</v>
      </c>
      <c r="G80">
        <v>-206.84906179214121</v>
      </c>
      <c r="I80">
        <v>-53.471424202037731</v>
      </c>
      <c r="K80">
        <v>0</v>
      </c>
      <c r="L80">
        <f t="shared" si="16"/>
        <v>229.85056193851719</v>
      </c>
      <c r="M80">
        <f t="shared" si="17"/>
        <v>-260.32048599417897</v>
      </c>
      <c r="N80">
        <f t="shared" si="18"/>
        <v>0</v>
      </c>
      <c r="O80">
        <f t="shared" si="19"/>
        <v>-229.85056193851719</v>
      </c>
      <c r="P80">
        <f t="shared" si="20"/>
        <v>206.84906179214121</v>
      </c>
      <c r="Q80">
        <f t="shared" si="21"/>
        <v>0</v>
      </c>
      <c r="R80">
        <f t="shared" si="22"/>
        <v>53.471424202037731</v>
      </c>
      <c r="S80">
        <f t="shared" si="23"/>
        <v>0</v>
      </c>
    </row>
    <row r="81" spans="2:26" x14ac:dyDescent="0.25">
      <c r="C81">
        <v>207.55911589396231</v>
      </c>
      <c r="D81">
        <v>38.239952190801034</v>
      </c>
      <c r="E81">
        <v>16.9060857868987</v>
      </c>
      <c r="G81">
        <v>0</v>
      </c>
      <c r="I81">
        <v>0</v>
      </c>
      <c r="K81">
        <v>0</v>
      </c>
      <c r="L81">
        <f t="shared" si="16"/>
        <v>262.70515387166205</v>
      </c>
      <c r="M81">
        <f t="shared" si="17"/>
        <v>0</v>
      </c>
      <c r="N81">
        <f t="shared" si="18"/>
        <v>0</v>
      </c>
      <c r="O81">
        <f t="shared" si="19"/>
        <v>-207.55911589396231</v>
      </c>
      <c r="P81">
        <f t="shared" si="20"/>
        <v>0</v>
      </c>
      <c r="Q81">
        <f t="shared" si="21"/>
        <v>-16.9060857868987</v>
      </c>
      <c r="R81">
        <f t="shared" si="22"/>
        <v>0</v>
      </c>
      <c r="S81">
        <f t="shared" si="23"/>
        <v>-38.239952190801034</v>
      </c>
    </row>
    <row r="82" spans="2:26" x14ac:dyDescent="0.25">
      <c r="C82">
        <v>208.72103541863567</v>
      </c>
      <c r="D82">
        <v>0</v>
      </c>
      <c r="E82">
        <v>214.26313992848671</v>
      </c>
      <c r="G82">
        <v>0</v>
      </c>
      <c r="I82">
        <v>-90.712073852875946</v>
      </c>
      <c r="K82">
        <v>0</v>
      </c>
      <c r="L82">
        <f t="shared" si="16"/>
        <v>422.98417534712235</v>
      </c>
      <c r="M82">
        <f t="shared" si="17"/>
        <v>-90.712073852875946</v>
      </c>
      <c r="N82">
        <f t="shared" si="18"/>
        <v>0</v>
      </c>
      <c r="O82">
        <f t="shared" si="19"/>
        <v>-208.72103541863567</v>
      </c>
      <c r="P82">
        <f t="shared" si="20"/>
        <v>0</v>
      </c>
      <c r="Q82">
        <f t="shared" si="21"/>
        <v>-214.26313992848671</v>
      </c>
      <c r="R82">
        <f t="shared" si="22"/>
        <v>90.712073852875946</v>
      </c>
      <c r="S82">
        <f t="shared" si="23"/>
        <v>0</v>
      </c>
    </row>
    <row r="83" spans="2:26" x14ac:dyDescent="0.25">
      <c r="C83">
        <v>205.38375710260394</v>
      </c>
      <c r="D83">
        <v>0</v>
      </c>
      <c r="E83">
        <v>121.86137224758693</v>
      </c>
      <c r="G83">
        <v>0</v>
      </c>
      <c r="I83">
        <v>-85.285532491985336</v>
      </c>
      <c r="K83">
        <v>0</v>
      </c>
      <c r="L83">
        <f t="shared" si="16"/>
        <v>327.24512935019084</v>
      </c>
      <c r="M83">
        <f t="shared" si="17"/>
        <v>-85.285532491985336</v>
      </c>
      <c r="N83">
        <f t="shared" si="18"/>
        <v>0</v>
      </c>
      <c r="O83">
        <f t="shared" si="19"/>
        <v>-205.38375710260394</v>
      </c>
      <c r="P83">
        <f t="shared" si="20"/>
        <v>0</v>
      </c>
      <c r="Q83">
        <f t="shared" si="21"/>
        <v>-121.86137224758693</v>
      </c>
      <c r="R83">
        <f t="shared" si="22"/>
        <v>85.285532491985336</v>
      </c>
      <c r="S83">
        <f t="shared" si="23"/>
        <v>0</v>
      </c>
    </row>
    <row r="84" spans="2:26" x14ac:dyDescent="0.25">
      <c r="C84">
        <v>213.96401095685579</v>
      </c>
      <c r="D84">
        <v>11.205981673435417</v>
      </c>
      <c r="E84">
        <v>89.457664380046367</v>
      </c>
      <c r="G84">
        <v>0</v>
      </c>
      <c r="I84">
        <v>0</v>
      </c>
      <c r="K84">
        <v>0</v>
      </c>
      <c r="L84">
        <f t="shared" si="16"/>
        <v>314.62765701033754</v>
      </c>
      <c r="M84">
        <f t="shared" si="17"/>
        <v>0</v>
      </c>
      <c r="N84">
        <f t="shared" si="18"/>
        <v>0</v>
      </c>
      <c r="O84">
        <f t="shared" si="19"/>
        <v>-213.96401095685579</v>
      </c>
      <c r="P84">
        <f t="shared" si="20"/>
        <v>0</v>
      </c>
      <c r="Q84">
        <f t="shared" si="21"/>
        <v>-89.457664380046367</v>
      </c>
      <c r="R84">
        <f t="shared" si="22"/>
        <v>0</v>
      </c>
      <c r="S84">
        <f t="shared" si="23"/>
        <v>-11.205981673435417</v>
      </c>
    </row>
    <row r="85" spans="2:26" x14ac:dyDescent="0.25">
      <c r="C85">
        <v>222.31725285342063</v>
      </c>
      <c r="D85">
        <v>0</v>
      </c>
      <c r="E85">
        <v>0</v>
      </c>
      <c r="G85">
        <v>-48.296941263681568</v>
      </c>
      <c r="I85">
        <v>-84.906728410405989</v>
      </c>
      <c r="K85">
        <v>0</v>
      </c>
      <c r="L85">
        <f t="shared" si="16"/>
        <v>222.31725285342063</v>
      </c>
      <c r="M85">
        <f t="shared" si="17"/>
        <v>-133.20366967408756</v>
      </c>
      <c r="N85">
        <f t="shared" si="18"/>
        <v>0</v>
      </c>
      <c r="O85">
        <f t="shared" si="19"/>
        <v>-222.31725285342063</v>
      </c>
      <c r="P85">
        <f t="shared" si="20"/>
        <v>48.296941263681568</v>
      </c>
      <c r="Q85">
        <f t="shared" si="21"/>
        <v>0</v>
      </c>
      <c r="R85">
        <f t="shared" si="22"/>
        <v>84.906728410405989</v>
      </c>
      <c r="S85">
        <f t="shared" si="23"/>
        <v>0</v>
      </c>
    </row>
    <row r="86" spans="2:26" x14ac:dyDescent="0.25">
      <c r="C86">
        <v>241.68650140202379</v>
      </c>
      <c r="D86">
        <v>30.17110974736471</v>
      </c>
      <c r="E86">
        <v>0</v>
      </c>
      <c r="G86">
        <v>-209.0162706107561</v>
      </c>
      <c r="I86">
        <v>0</v>
      </c>
      <c r="K86">
        <v>0</v>
      </c>
      <c r="L86">
        <f t="shared" si="16"/>
        <v>271.8576111493885</v>
      </c>
      <c r="M86">
        <f t="shared" si="17"/>
        <v>-209.0162706107561</v>
      </c>
      <c r="N86">
        <f t="shared" si="18"/>
        <v>0</v>
      </c>
      <c r="O86">
        <f t="shared" si="19"/>
        <v>-241.68650140202379</v>
      </c>
      <c r="P86">
        <f t="shared" si="20"/>
        <v>209.0162706107561</v>
      </c>
      <c r="Q86">
        <f t="shared" si="21"/>
        <v>0</v>
      </c>
      <c r="R86">
        <f t="shared" si="22"/>
        <v>0</v>
      </c>
      <c r="S86">
        <f t="shared" si="23"/>
        <v>-30.17110974736471</v>
      </c>
    </row>
    <row r="87" spans="2:26" x14ac:dyDescent="0.25">
      <c r="C87">
        <v>249.27306487749198</v>
      </c>
      <c r="D87">
        <v>36.322004251396486</v>
      </c>
      <c r="E87">
        <v>0</v>
      </c>
      <c r="G87">
        <v>-197.80304794290896</v>
      </c>
      <c r="I87">
        <v>0</v>
      </c>
      <c r="K87">
        <v>0</v>
      </c>
      <c r="L87">
        <f t="shared" si="16"/>
        <v>285.59506912888844</v>
      </c>
      <c r="M87">
        <f t="shared" si="17"/>
        <v>-197.80304794290896</v>
      </c>
      <c r="N87">
        <f t="shared" si="18"/>
        <v>0</v>
      </c>
      <c r="O87">
        <f t="shared" si="19"/>
        <v>-249.27306487749198</v>
      </c>
      <c r="P87">
        <f t="shared" si="20"/>
        <v>197.80304794290896</v>
      </c>
      <c r="Q87">
        <f t="shared" si="21"/>
        <v>0</v>
      </c>
      <c r="R87">
        <f t="shared" si="22"/>
        <v>0</v>
      </c>
      <c r="S87">
        <f t="shared" si="23"/>
        <v>-36.322004251396486</v>
      </c>
    </row>
    <row r="88" spans="2:26" x14ac:dyDescent="0.25">
      <c r="C88">
        <v>244.15150876350953</v>
      </c>
      <c r="D88">
        <v>31.285849513468293</v>
      </c>
      <c r="E88">
        <v>0</v>
      </c>
      <c r="G88">
        <v>-229.76765699432789</v>
      </c>
      <c r="I88">
        <v>0</v>
      </c>
      <c r="K88">
        <v>0</v>
      </c>
      <c r="L88">
        <f t="shared" si="16"/>
        <v>275.43735827697782</v>
      </c>
      <c r="M88">
        <f t="shared" si="17"/>
        <v>-229.76765699432789</v>
      </c>
      <c r="N88">
        <f>-K88</f>
        <v>0</v>
      </c>
      <c r="O88">
        <f t="shared" si="19"/>
        <v>-244.15150876350953</v>
      </c>
      <c r="P88">
        <f t="shared" si="20"/>
        <v>229.76765699432789</v>
      </c>
      <c r="Q88">
        <f t="shared" si="21"/>
        <v>0</v>
      </c>
      <c r="R88">
        <f t="shared" si="22"/>
        <v>0</v>
      </c>
      <c r="S88">
        <f t="shared" si="23"/>
        <v>-31.285849513468293</v>
      </c>
    </row>
    <row r="94" spans="2:26" x14ac:dyDescent="0.25">
      <c r="C94" t="s">
        <v>56</v>
      </c>
      <c r="E94" t="s">
        <v>59</v>
      </c>
      <c r="G94" t="s">
        <v>60</v>
      </c>
      <c r="I94" t="s">
        <v>61</v>
      </c>
      <c r="K94" t="s">
        <v>56</v>
      </c>
      <c r="M94" t="s">
        <v>59</v>
      </c>
      <c r="O94" t="s">
        <v>60</v>
      </c>
      <c r="Q94" t="s">
        <v>61</v>
      </c>
      <c r="S94" t="s">
        <v>56</v>
      </c>
      <c r="U94" t="s">
        <v>59</v>
      </c>
      <c r="W94" t="s">
        <v>60</v>
      </c>
      <c r="Y94" t="s">
        <v>61</v>
      </c>
    </row>
    <row r="95" spans="2:26" x14ac:dyDescent="0.25">
      <c r="B95" t="s">
        <v>62</v>
      </c>
      <c r="C95" t="s">
        <v>63</v>
      </c>
      <c r="D95" t="s">
        <v>64</v>
      </c>
      <c r="E95" t="s">
        <v>65</v>
      </c>
      <c r="F95" t="s">
        <v>66</v>
      </c>
      <c r="G95" t="s">
        <v>67</v>
      </c>
      <c r="H95" t="s">
        <v>68</v>
      </c>
      <c r="I95" t="s">
        <v>69</v>
      </c>
      <c r="J95" t="s">
        <v>70</v>
      </c>
      <c r="K95" t="s">
        <v>71</v>
      </c>
      <c r="L95" t="s">
        <v>72</v>
      </c>
      <c r="M95" t="s">
        <v>73</v>
      </c>
      <c r="N95" t="s">
        <v>74</v>
      </c>
      <c r="O95" t="s">
        <v>75</v>
      </c>
      <c r="P95" t="s">
        <v>76</v>
      </c>
      <c r="Q95" t="s">
        <v>77</v>
      </c>
      <c r="R95" t="s">
        <v>78</v>
      </c>
      <c r="S95" t="s">
        <v>79</v>
      </c>
      <c r="T95" t="s">
        <v>80</v>
      </c>
      <c r="U95" t="s">
        <v>81</v>
      </c>
      <c r="V95" t="s">
        <v>82</v>
      </c>
      <c r="W95" t="s">
        <v>83</v>
      </c>
      <c r="X95" t="s">
        <v>84</v>
      </c>
      <c r="Y95" t="s">
        <v>85</v>
      </c>
      <c r="Z95" t="s">
        <v>86</v>
      </c>
    </row>
    <row r="96" spans="2:26" x14ac:dyDescent="0.25">
      <c r="B96" t="s">
        <v>0</v>
      </c>
      <c r="C96" s="29">
        <v>132.22430348421102</v>
      </c>
      <c r="D96" s="29">
        <v>-191.96989177821641</v>
      </c>
      <c r="E96" s="29">
        <v>0</v>
      </c>
      <c r="F96" s="29">
        <v>-132.22430348421102</v>
      </c>
      <c r="G96" s="29">
        <v>146.37519907280574</v>
      </c>
      <c r="H96" s="29">
        <v>0</v>
      </c>
      <c r="I96" s="29">
        <v>45.594692705410658</v>
      </c>
      <c r="J96" s="29">
        <v>0</v>
      </c>
      <c r="K96" s="29">
        <v>245.78535299348704</v>
      </c>
      <c r="L96" s="29">
        <v>-324.1495145919385</v>
      </c>
      <c r="M96" s="29">
        <v>0</v>
      </c>
      <c r="N96" s="29">
        <v>-245.78535299348704</v>
      </c>
      <c r="O96" s="29">
        <v>260</v>
      </c>
      <c r="P96" s="29">
        <v>0</v>
      </c>
      <c r="Q96" s="29">
        <v>64.149514591938512</v>
      </c>
      <c r="R96" s="29">
        <v>0</v>
      </c>
      <c r="S96" s="29">
        <v>393.7479469988985</v>
      </c>
      <c r="T96" s="29">
        <v>-260</v>
      </c>
      <c r="U96" s="29">
        <v>0</v>
      </c>
      <c r="V96" s="29">
        <v>-390</v>
      </c>
      <c r="W96" s="29">
        <v>260</v>
      </c>
      <c r="X96" s="29">
        <v>0</v>
      </c>
      <c r="Y96" s="29">
        <v>0</v>
      </c>
      <c r="Z96" s="29">
        <v>-3.7479469988984988</v>
      </c>
    </row>
    <row r="97" spans="2:26" x14ac:dyDescent="0.25">
      <c r="B97" t="s">
        <v>1</v>
      </c>
      <c r="C97" s="29">
        <v>165.21593529960307</v>
      </c>
      <c r="D97" s="29">
        <v>-276.23539993654572</v>
      </c>
      <c r="E97" s="29">
        <v>0</v>
      </c>
      <c r="F97" s="29">
        <v>-165.21593529960307</v>
      </c>
      <c r="G97" s="29">
        <v>148.28837403598246</v>
      </c>
      <c r="H97" s="29">
        <v>0</v>
      </c>
      <c r="I97" s="29">
        <v>127.94702590056329</v>
      </c>
      <c r="J97" s="29">
        <v>0</v>
      </c>
      <c r="K97" s="29">
        <v>278.18991972656784</v>
      </c>
      <c r="L97" s="29">
        <v>-324.97453631789523</v>
      </c>
      <c r="M97" s="29">
        <v>0</v>
      </c>
      <c r="N97" s="29">
        <v>-278.18991972656784</v>
      </c>
      <c r="O97" s="29">
        <v>260</v>
      </c>
      <c r="P97" s="29">
        <v>0</v>
      </c>
      <c r="Q97" s="29">
        <v>64.974536317895229</v>
      </c>
      <c r="R97" s="29">
        <v>0</v>
      </c>
      <c r="S97" s="29">
        <v>392.70402576165344</v>
      </c>
      <c r="T97" s="29">
        <v>-260</v>
      </c>
      <c r="U97" s="29">
        <v>0</v>
      </c>
      <c r="V97" s="29">
        <v>-390</v>
      </c>
      <c r="W97" s="29">
        <v>260</v>
      </c>
      <c r="X97" s="29">
        <v>0</v>
      </c>
      <c r="Y97" s="29">
        <v>0</v>
      </c>
      <c r="Z97" s="29">
        <v>-2.7040257616534404</v>
      </c>
    </row>
    <row r="98" spans="2:26" x14ac:dyDescent="0.25">
      <c r="B98" t="s">
        <v>2</v>
      </c>
      <c r="C98" s="29">
        <v>163.8886173740238</v>
      </c>
      <c r="D98" s="29">
        <v>-273.20112430727681</v>
      </c>
      <c r="E98" s="29">
        <v>0</v>
      </c>
      <c r="F98" s="29">
        <v>-163.8886173740238</v>
      </c>
      <c r="G98" s="29">
        <v>147.06245838430527</v>
      </c>
      <c r="H98" s="29">
        <v>0</v>
      </c>
      <c r="I98" s="29">
        <v>126.13866592297151</v>
      </c>
      <c r="J98" s="29">
        <v>0</v>
      </c>
      <c r="K98" s="29">
        <v>276.84053338471972</v>
      </c>
      <c r="L98" s="29">
        <v>-325.14719891647837</v>
      </c>
      <c r="M98" s="29">
        <v>0</v>
      </c>
      <c r="N98" s="29">
        <v>-276.84053338471972</v>
      </c>
      <c r="O98" s="29">
        <v>260</v>
      </c>
      <c r="P98" s="29">
        <v>0</v>
      </c>
      <c r="Q98" s="29">
        <v>65.147198916478374</v>
      </c>
      <c r="R98" s="29">
        <v>0</v>
      </c>
      <c r="S98" s="29">
        <v>392.52330792267725</v>
      </c>
      <c r="T98" s="29">
        <v>-260</v>
      </c>
      <c r="U98" s="29">
        <v>0</v>
      </c>
      <c r="V98" s="29">
        <v>-390</v>
      </c>
      <c r="W98" s="29">
        <v>260</v>
      </c>
      <c r="X98" s="29">
        <v>0</v>
      </c>
      <c r="Y98" s="29">
        <v>0</v>
      </c>
      <c r="Z98" s="29">
        <v>-2.5233079226772466</v>
      </c>
    </row>
    <row r="99" spans="2:26" x14ac:dyDescent="0.25">
      <c r="B99" t="s">
        <v>3</v>
      </c>
      <c r="C99" s="29">
        <v>114.03283495166474</v>
      </c>
      <c r="D99" s="29">
        <v>-118.80659495360518</v>
      </c>
      <c r="E99" s="29">
        <v>0</v>
      </c>
      <c r="F99" s="29">
        <v>-92.948358095536861</v>
      </c>
      <c r="G99" s="29">
        <v>118.80659495360518</v>
      </c>
      <c r="H99" s="29">
        <v>0</v>
      </c>
      <c r="I99" s="29">
        <v>0</v>
      </c>
      <c r="J99" s="29">
        <v>-21.084476856127885</v>
      </c>
      <c r="K99" s="29">
        <v>199.14057398105604</v>
      </c>
      <c r="L99" s="29">
        <v>-278.63036011495473</v>
      </c>
      <c r="M99" s="29">
        <v>0</v>
      </c>
      <c r="N99" s="29">
        <v>-199.14057398105604</v>
      </c>
      <c r="O99" s="29">
        <v>151.71985792535111</v>
      </c>
      <c r="P99" s="29">
        <v>0</v>
      </c>
      <c r="Q99" s="29">
        <v>126.9105021896036</v>
      </c>
      <c r="R99" s="29">
        <v>0</v>
      </c>
      <c r="S99" s="29">
        <v>362.6442007380021</v>
      </c>
      <c r="T99" s="29">
        <v>-290.16701585515563</v>
      </c>
      <c r="U99" s="29">
        <v>0</v>
      </c>
      <c r="V99" s="29">
        <v>-362.6442007380021</v>
      </c>
      <c r="W99" s="29">
        <v>260</v>
      </c>
      <c r="X99" s="29">
        <v>0</v>
      </c>
      <c r="Y99" s="29">
        <v>30.167015855155629</v>
      </c>
      <c r="Z99" s="29">
        <v>0</v>
      </c>
    </row>
    <row r="100" spans="2:26" x14ac:dyDescent="0.25">
      <c r="B100" t="s">
        <v>4</v>
      </c>
      <c r="C100" s="29">
        <v>194.33378130981006</v>
      </c>
      <c r="D100" s="29">
        <v>-155.82862669762892</v>
      </c>
      <c r="E100" s="29">
        <v>0</v>
      </c>
      <c r="F100" s="29">
        <v>-194.33378130981006</v>
      </c>
      <c r="G100" s="29">
        <v>106.55221565241506</v>
      </c>
      <c r="H100" s="29">
        <v>0</v>
      </c>
      <c r="I100" s="29">
        <v>49.276411045213855</v>
      </c>
      <c r="J100" s="29">
        <v>0</v>
      </c>
      <c r="K100" s="29">
        <v>124.49915519991487</v>
      </c>
      <c r="L100" s="29">
        <v>-59.834477278436616</v>
      </c>
      <c r="M100" s="29">
        <v>0</v>
      </c>
      <c r="N100" s="29">
        <v>-124.49915519991487</v>
      </c>
      <c r="O100" s="29">
        <v>19.067433479205192</v>
      </c>
      <c r="P100" s="29">
        <v>0</v>
      </c>
      <c r="Q100" s="29">
        <v>40.767043799231423</v>
      </c>
      <c r="R100" s="29">
        <v>0</v>
      </c>
      <c r="S100" s="29">
        <v>214.16253841657229</v>
      </c>
      <c r="T100" s="29">
        <v>-90.575699616588622</v>
      </c>
      <c r="U100" s="29">
        <v>0</v>
      </c>
      <c r="V100" s="29">
        <v>-208.48172395240263</v>
      </c>
      <c r="W100" s="29">
        <v>0</v>
      </c>
      <c r="X100" s="29">
        <v>-5.6808144641696572</v>
      </c>
      <c r="Y100" s="29">
        <v>90.575699616588622</v>
      </c>
      <c r="Z100" s="29">
        <v>0</v>
      </c>
    </row>
    <row r="101" spans="2:26" x14ac:dyDescent="0.25">
      <c r="B101" t="s">
        <v>5</v>
      </c>
      <c r="C101" s="29">
        <v>150.65670435682361</v>
      </c>
      <c r="D101" s="29">
        <v>-228.53347847213735</v>
      </c>
      <c r="E101" s="29">
        <v>0</v>
      </c>
      <c r="F101" s="29">
        <v>-150.65670435682361</v>
      </c>
      <c r="G101" s="29">
        <v>63.533478472137332</v>
      </c>
      <c r="H101" s="29">
        <v>0</v>
      </c>
      <c r="I101" s="29">
        <v>165</v>
      </c>
      <c r="J101" s="29">
        <v>0</v>
      </c>
      <c r="K101" s="29">
        <v>248.74470048799338</v>
      </c>
      <c r="L101" s="29">
        <v>-165</v>
      </c>
      <c r="M101" s="29">
        <v>0</v>
      </c>
      <c r="N101" s="29">
        <v>-205.09433452633024</v>
      </c>
      <c r="O101" s="29">
        <v>0</v>
      </c>
      <c r="P101" s="29">
        <v>-43.650365961663134</v>
      </c>
      <c r="Q101" s="29">
        <v>165</v>
      </c>
      <c r="R101" s="29">
        <v>0</v>
      </c>
      <c r="S101" s="29">
        <v>350.40146740518935</v>
      </c>
      <c r="T101" s="29">
        <v>-90.847863468679108</v>
      </c>
      <c r="U101" s="29">
        <v>0</v>
      </c>
      <c r="V101" s="29">
        <v>-208.40776335858746</v>
      </c>
      <c r="W101" s="29">
        <v>0</v>
      </c>
      <c r="X101" s="29">
        <v>-141.99370404660192</v>
      </c>
      <c r="Y101" s="29">
        <v>90.847863468679108</v>
      </c>
      <c r="Z101" s="29">
        <v>0</v>
      </c>
    </row>
    <row r="102" spans="2:26" x14ac:dyDescent="0.25">
      <c r="B102" t="s">
        <v>6</v>
      </c>
      <c r="C102" s="29">
        <v>144.66972828425372</v>
      </c>
      <c r="D102" s="29">
        <v>-215.0883351700333</v>
      </c>
      <c r="E102" s="29">
        <v>0</v>
      </c>
      <c r="F102" s="29">
        <v>-144.66972828425372</v>
      </c>
      <c r="G102" s="29">
        <v>50.08833517003329</v>
      </c>
      <c r="H102" s="29">
        <v>0</v>
      </c>
      <c r="I102" s="29">
        <v>165</v>
      </c>
      <c r="J102" s="29">
        <v>0</v>
      </c>
      <c r="K102" s="29">
        <v>260.28268169734298</v>
      </c>
      <c r="L102" s="29">
        <v>-165</v>
      </c>
      <c r="M102" s="29">
        <v>0</v>
      </c>
      <c r="N102" s="29">
        <v>-197.94531984926769</v>
      </c>
      <c r="O102" s="29">
        <v>0</v>
      </c>
      <c r="P102" s="29">
        <v>-62.33736184807529</v>
      </c>
      <c r="Q102" s="29">
        <v>165</v>
      </c>
      <c r="R102" s="29">
        <v>0</v>
      </c>
      <c r="S102" s="29">
        <v>273.795056964835</v>
      </c>
      <c r="T102" s="29">
        <v>-92.572095397072516</v>
      </c>
      <c r="U102" s="29">
        <v>0</v>
      </c>
      <c r="V102" s="29">
        <v>-221.67726017527647</v>
      </c>
      <c r="W102" s="29">
        <v>0</v>
      </c>
      <c r="X102" s="29">
        <v>-52.117796789558511</v>
      </c>
      <c r="Y102" s="29">
        <v>92.572095397072516</v>
      </c>
      <c r="Z102" s="29">
        <v>0</v>
      </c>
    </row>
    <row r="103" spans="2:26" x14ac:dyDescent="0.25">
      <c r="B103" t="s">
        <v>7</v>
      </c>
      <c r="C103" s="29">
        <v>185.56785971324766</v>
      </c>
      <c r="D103" s="29">
        <v>-306.93003635914283</v>
      </c>
      <c r="E103" s="29">
        <v>0</v>
      </c>
      <c r="F103" s="29">
        <v>-185.56785971324766</v>
      </c>
      <c r="G103" s="29">
        <v>215.2621542126368</v>
      </c>
      <c r="H103" s="29">
        <v>0</v>
      </c>
      <c r="I103" s="29">
        <v>91.667882146506003</v>
      </c>
      <c r="J103" s="29">
        <v>0</v>
      </c>
      <c r="K103" s="29">
        <v>253.34615008817514</v>
      </c>
      <c r="L103" s="29">
        <v>-272.59692235979884</v>
      </c>
      <c r="M103" s="29">
        <v>0</v>
      </c>
      <c r="N103" s="29">
        <v>-253.34615008817514</v>
      </c>
      <c r="O103" s="29">
        <v>190.74246957203667</v>
      </c>
      <c r="P103" s="29">
        <v>0</v>
      </c>
      <c r="Q103" s="29">
        <v>81.85445278776217</v>
      </c>
      <c r="R103" s="29">
        <v>0</v>
      </c>
      <c r="S103" s="29">
        <v>213.48759205874993</v>
      </c>
      <c r="T103" s="29">
        <v>-14.814644393708193</v>
      </c>
      <c r="U103" s="29">
        <v>0</v>
      </c>
      <c r="V103" s="29">
        <v>-212.89357605778909</v>
      </c>
      <c r="W103" s="29">
        <v>14.814644393708193</v>
      </c>
      <c r="X103" s="29">
        <v>0</v>
      </c>
      <c r="Y103" s="29">
        <v>0</v>
      </c>
      <c r="Z103" s="29">
        <v>-0.59401600096083462</v>
      </c>
    </row>
    <row r="104" spans="2:26" x14ac:dyDescent="0.25">
      <c r="B104" t="s">
        <v>8</v>
      </c>
      <c r="C104" s="29">
        <v>171.92020211933269</v>
      </c>
      <c r="D104" s="29">
        <v>-200.20181590210231</v>
      </c>
      <c r="E104" s="29">
        <v>0</v>
      </c>
      <c r="F104" s="29">
        <v>-48.607051830709452</v>
      </c>
      <c r="G104" s="29">
        <v>200.20181590210231</v>
      </c>
      <c r="H104" s="29">
        <v>0</v>
      </c>
      <c r="I104" s="29">
        <v>0</v>
      </c>
      <c r="J104" s="29">
        <v>-123.31315028862323</v>
      </c>
      <c r="K104" s="29">
        <v>247.74414202464575</v>
      </c>
      <c r="L104" s="29">
        <v>-175.5725908444017</v>
      </c>
      <c r="M104" s="29">
        <v>0</v>
      </c>
      <c r="N104" s="29">
        <v>-117.86337107788779</v>
      </c>
      <c r="O104" s="29">
        <v>175.5725908444017</v>
      </c>
      <c r="P104" s="29">
        <v>0</v>
      </c>
      <c r="Q104" s="29">
        <v>0</v>
      </c>
      <c r="R104" s="29">
        <v>-129.88077094675796</v>
      </c>
      <c r="S104" s="29">
        <v>282.40799865515294</v>
      </c>
      <c r="T104" s="29">
        <v>-319.31310993214146</v>
      </c>
      <c r="U104" s="29">
        <v>0</v>
      </c>
      <c r="V104" s="29">
        <v>-282.40799865515294</v>
      </c>
      <c r="W104" s="29">
        <v>235.03052271684197</v>
      </c>
      <c r="X104" s="29">
        <v>0</v>
      </c>
      <c r="Y104" s="29">
        <v>84.282587215299486</v>
      </c>
      <c r="Z104" s="29">
        <v>0</v>
      </c>
    </row>
    <row r="105" spans="2:26" x14ac:dyDescent="0.25">
      <c r="B105" t="s">
        <v>9</v>
      </c>
      <c r="C105" s="29">
        <v>179.92590100764028</v>
      </c>
      <c r="D105" s="29">
        <v>-180.89162806929494</v>
      </c>
      <c r="E105" s="29">
        <v>0</v>
      </c>
      <c r="F105" s="29">
        <v>-14.925901007640277</v>
      </c>
      <c r="G105" s="29">
        <v>180.89162806929494</v>
      </c>
      <c r="H105" s="29">
        <v>0</v>
      </c>
      <c r="I105" s="29">
        <v>0</v>
      </c>
      <c r="J105" s="29">
        <v>-165</v>
      </c>
      <c r="K105" s="29">
        <v>257.08379875637002</v>
      </c>
      <c r="L105" s="29">
        <v>-162.07255143487851</v>
      </c>
      <c r="M105" s="29">
        <v>0</v>
      </c>
      <c r="N105" s="29">
        <v>-92.083798756370044</v>
      </c>
      <c r="O105" s="29">
        <v>162.07255143487851</v>
      </c>
      <c r="P105" s="29">
        <v>0</v>
      </c>
      <c r="Q105" s="29">
        <v>0</v>
      </c>
      <c r="R105" s="29">
        <v>-165</v>
      </c>
      <c r="S105" s="29">
        <v>290.1256312343495</v>
      </c>
      <c r="T105" s="29">
        <v>-195.48081709192252</v>
      </c>
      <c r="U105" s="29">
        <v>0</v>
      </c>
      <c r="V105" s="29">
        <v>-250.84185121591813</v>
      </c>
      <c r="W105" s="29">
        <v>195.48081709192252</v>
      </c>
      <c r="X105" s="29">
        <v>0</v>
      </c>
      <c r="Y105" s="29">
        <v>0</v>
      </c>
      <c r="Z105" s="29">
        <v>-39.283780018431344</v>
      </c>
    </row>
    <row r="106" spans="2:26" x14ac:dyDescent="0.25">
      <c r="B106" t="s">
        <v>10</v>
      </c>
      <c r="C106" s="29">
        <v>165</v>
      </c>
      <c r="D106" s="29">
        <v>-161.76174747348227</v>
      </c>
      <c r="E106" s="29">
        <v>13.716314121117879</v>
      </c>
      <c r="F106" s="29">
        <v>0</v>
      </c>
      <c r="G106" s="29">
        <v>148.0454333523644</v>
      </c>
      <c r="H106" s="29">
        <v>0</v>
      </c>
      <c r="I106" s="29">
        <v>0</v>
      </c>
      <c r="J106" s="29">
        <v>-165</v>
      </c>
      <c r="K106" s="29">
        <v>173.38851269812832</v>
      </c>
      <c r="L106" s="29">
        <v>-94.525164626601182</v>
      </c>
      <c r="M106" s="29">
        <v>0</v>
      </c>
      <c r="N106" s="29">
        <v>-91.479133335661004</v>
      </c>
      <c r="O106" s="29">
        <v>94.525164626601182</v>
      </c>
      <c r="P106" s="29">
        <v>0</v>
      </c>
      <c r="Q106" s="29">
        <v>0</v>
      </c>
      <c r="R106" s="29">
        <v>-81.90937936246732</v>
      </c>
      <c r="S106" s="29">
        <v>297.53080803941049</v>
      </c>
      <c r="T106" s="29">
        <v>-196.44754651691122</v>
      </c>
      <c r="U106" s="29">
        <v>0</v>
      </c>
      <c r="V106" s="29">
        <v>-257.78068786859023</v>
      </c>
      <c r="W106" s="29">
        <v>196.44754651691122</v>
      </c>
      <c r="X106" s="29">
        <v>0</v>
      </c>
      <c r="Y106" s="29">
        <v>0</v>
      </c>
      <c r="Z106" s="29">
        <v>-39.750120170820253</v>
      </c>
    </row>
    <row r="107" spans="2:26" x14ac:dyDescent="0.25">
      <c r="B107" t="s">
        <v>11</v>
      </c>
      <c r="C107" s="29">
        <v>183.83519008586472</v>
      </c>
      <c r="D107" s="29">
        <v>-135.09294937962568</v>
      </c>
      <c r="E107" s="29">
        <v>0</v>
      </c>
      <c r="F107" s="29">
        <v>-64.680305345507392</v>
      </c>
      <c r="G107" s="29">
        <v>135.09294937962568</v>
      </c>
      <c r="H107" s="29">
        <v>0</v>
      </c>
      <c r="I107" s="29">
        <v>0</v>
      </c>
      <c r="J107" s="29">
        <v>-119.15488474035733</v>
      </c>
      <c r="K107" s="29">
        <v>179.85291377377092</v>
      </c>
      <c r="L107" s="29">
        <v>-240.86853716189492</v>
      </c>
      <c r="M107" s="29">
        <v>0</v>
      </c>
      <c r="N107" s="29">
        <v>-179.85291377377092</v>
      </c>
      <c r="O107" s="29">
        <v>180.25351152878611</v>
      </c>
      <c r="P107" s="29">
        <v>0</v>
      </c>
      <c r="Q107" s="29">
        <v>60.615025633108814</v>
      </c>
      <c r="R107" s="29">
        <v>0</v>
      </c>
      <c r="S107" s="29">
        <v>365.2853299353157</v>
      </c>
      <c r="T107" s="29">
        <v>-230.4802626851581</v>
      </c>
      <c r="U107" s="29">
        <v>0</v>
      </c>
      <c r="V107" s="29">
        <v>-345.28528492668437</v>
      </c>
      <c r="W107" s="29">
        <v>230.4802626851581</v>
      </c>
      <c r="X107" s="29">
        <v>0</v>
      </c>
      <c r="Y107" s="29">
        <v>0</v>
      </c>
      <c r="Z107" s="29">
        <v>-20.000045008631332</v>
      </c>
    </row>
    <row r="108" spans="2:26" x14ac:dyDescent="0.25">
      <c r="B108" t="s">
        <v>12</v>
      </c>
      <c r="C108" s="29">
        <v>165</v>
      </c>
      <c r="D108" s="29">
        <v>-97.36782777807673</v>
      </c>
      <c r="E108" s="29">
        <v>11.124512785563526</v>
      </c>
      <c r="F108" s="29">
        <v>0</v>
      </c>
      <c r="G108" s="29">
        <v>86.243314992513206</v>
      </c>
      <c r="H108" s="29">
        <v>0</v>
      </c>
      <c r="I108" s="29">
        <v>0</v>
      </c>
      <c r="J108" s="29">
        <v>-165</v>
      </c>
      <c r="K108" s="29">
        <v>102.47325431900556</v>
      </c>
      <c r="L108" s="29">
        <v>-67.500941555281301</v>
      </c>
      <c r="M108" s="29">
        <v>0</v>
      </c>
      <c r="N108" s="29">
        <v>-102.47325431900556</v>
      </c>
      <c r="O108" s="29">
        <v>10.904128770826219</v>
      </c>
      <c r="P108" s="29">
        <v>0</v>
      </c>
      <c r="Q108" s="29">
        <v>56.596812784455082</v>
      </c>
      <c r="R108" s="29">
        <v>0</v>
      </c>
      <c r="S108" s="29">
        <v>291.11905841989011</v>
      </c>
      <c r="T108" s="29">
        <v>-260</v>
      </c>
      <c r="U108" s="29">
        <v>0</v>
      </c>
      <c r="V108" s="29">
        <v>-266.2287439685112</v>
      </c>
      <c r="W108" s="29">
        <v>260</v>
      </c>
      <c r="X108" s="29">
        <v>0</v>
      </c>
      <c r="Y108" s="29">
        <v>0</v>
      </c>
      <c r="Z108" s="29">
        <v>-24.89031445137892</v>
      </c>
    </row>
    <row r="109" spans="2:26" x14ac:dyDescent="0.25">
      <c r="B109" t="s">
        <v>13</v>
      </c>
      <c r="C109" s="29">
        <v>165</v>
      </c>
      <c r="D109" s="29">
        <v>-98.706984818686365</v>
      </c>
      <c r="E109" s="29">
        <v>2.1483604954382836</v>
      </c>
      <c r="F109" s="29">
        <v>0</v>
      </c>
      <c r="G109" s="29">
        <v>96.558624323248083</v>
      </c>
      <c r="H109" s="29">
        <v>0</v>
      </c>
      <c r="I109" s="29">
        <v>0</v>
      </c>
      <c r="J109" s="29">
        <v>-165</v>
      </c>
      <c r="K109" s="29">
        <v>110.84025225820039</v>
      </c>
      <c r="L109" s="29">
        <v>-93.235247568245541</v>
      </c>
      <c r="M109" s="29">
        <v>0</v>
      </c>
      <c r="N109" s="29">
        <v>-110.84025225820039</v>
      </c>
      <c r="O109" s="29">
        <v>22.744997680384927</v>
      </c>
      <c r="P109" s="29">
        <v>0</v>
      </c>
      <c r="Q109" s="29">
        <v>70.490249887860614</v>
      </c>
      <c r="R109" s="29">
        <v>0</v>
      </c>
      <c r="S109" s="29">
        <v>296.38131474289219</v>
      </c>
      <c r="T109" s="29">
        <v>-260</v>
      </c>
      <c r="U109" s="29">
        <v>0</v>
      </c>
      <c r="V109" s="29">
        <v>-273.94711804419222</v>
      </c>
      <c r="W109" s="29">
        <v>260</v>
      </c>
      <c r="X109" s="29">
        <v>0</v>
      </c>
      <c r="Y109" s="29">
        <v>0</v>
      </c>
      <c r="Z109" s="29">
        <v>-22.434196698699974</v>
      </c>
    </row>
    <row r="110" spans="2:26" x14ac:dyDescent="0.25">
      <c r="B110" t="s">
        <v>14</v>
      </c>
      <c r="C110" s="29">
        <v>165</v>
      </c>
      <c r="D110" s="29">
        <v>-94.022599861161211</v>
      </c>
      <c r="E110" s="29">
        <v>1.6550026803774927</v>
      </c>
      <c r="F110" s="29">
        <v>0</v>
      </c>
      <c r="G110" s="29">
        <v>92.367597180783719</v>
      </c>
      <c r="H110" s="29">
        <v>0</v>
      </c>
      <c r="I110" s="29">
        <v>0</v>
      </c>
      <c r="J110" s="29">
        <v>-165</v>
      </c>
      <c r="K110" s="29">
        <v>111.23903188238808</v>
      </c>
      <c r="L110" s="29">
        <v>-95.377590437813225</v>
      </c>
      <c r="M110" s="29">
        <v>0</v>
      </c>
      <c r="N110" s="29">
        <v>-111.23903188238808</v>
      </c>
      <c r="O110" s="29">
        <v>20.68339467211581</v>
      </c>
      <c r="P110" s="29">
        <v>0</v>
      </c>
      <c r="Q110" s="29">
        <v>74.694195765697415</v>
      </c>
      <c r="R110" s="29">
        <v>0</v>
      </c>
      <c r="S110" s="29">
        <v>296.19262213454124</v>
      </c>
      <c r="T110" s="29">
        <v>-260</v>
      </c>
      <c r="U110" s="29">
        <v>0</v>
      </c>
      <c r="V110" s="29">
        <v>-274.26963758367594</v>
      </c>
      <c r="W110" s="29">
        <v>260</v>
      </c>
      <c r="X110" s="29">
        <v>0</v>
      </c>
      <c r="Y110" s="29">
        <v>0</v>
      </c>
      <c r="Z110" s="29">
        <v>-21.922984550865287</v>
      </c>
    </row>
    <row r="111" spans="2:26" x14ac:dyDescent="0.25">
      <c r="B111" t="s">
        <v>15</v>
      </c>
      <c r="C111" s="29">
        <v>149.7874540313141</v>
      </c>
      <c r="D111" s="29">
        <v>-99.619292497387335</v>
      </c>
      <c r="E111" s="29">
        <v>37.449010717237286</v>
      </c>
      <c r="F111" s="29">
        <v>0</v>
      </c>
      <c r="G111" s="29">
        <v>62.170281780150049</v>
      </c>
      <c r="H111" s="29">
        <v>0</v>
      </c>
      <c r="I111" s="29">
        <v>0</v>
      </c>
      <c r="J111" s="29">
        <v>-149.7874540313141</v>
      </c>
      <c r="K111" s="29">
        <v>111.98564693622512</v>
      </c>
      <c r="L111" s="29">
        <v>0</v>
      </c>
      <c r="M111" s="29">
        <v>0</v>
      </c>
      <c r="N111" s="29">
        <v>-66.67544362742575</v>
      </c>
      <c r="O111" s="29">
        <v>0</v>
      </c>
      <c r="P111" s="29">
        <v>-27.214881899503556</v>
      </c>
      <c r="Q111" s="29">
        <v>0</v>
      </c>
      <c r="R111" s="29">
        <v>-18.095321409295821</v>
      </c>
      <c r="S111" s="29">
        <v>229.85056193851719</v>
      </c>
      <c r="T111" s="29">
        <v>-260.32048599417897</v>
      </c>
      <c r="U111" s="29">
        <v>0</v>
      </c>
      <c r="V111" s="29">
        <v>-229.85056193851719</v>
      </c>
      <c r="W111" s="29">
        <v>206.84906179214121</v>
      </c>
      <c r="X111" s="29">
        <v>0</v>
      </c>
      <c r="Y111" s="29">
        <v>53.471424202037731</v>
      </c>
      <c r="Z111" s="29">
        <v>0</v>
      </c>
    </row>
    <row r="112" spans="2:26" x14ac:dyDescent="0.25">
      <c r="B112" t="s">
        <v>16</v>
      </c>
      <c r="C112" s="29">
        <v>0</v>
      </c>
      <c r="D112" s="29">
        <v>-74.263613379946293</v>
      </c>
      <c r="E112" s="29">
        <v>5.3432903360885016</v>
      </c>
      <c r="F112" s="29">
        <v>0</v>
      </c>
      <c r="G112" s="29">
        <v>20.680008384236544</v>
      </c>
      <c r="H112" s="29">
        <v>0</v>
      </c>
      <c r="I112" s="29">
        <v>48.240314659621255</v>
      </c>
      <c r="J112" s="29">
        <v>0</v>
      </c>
      <c r="K112" s="29">
        <v>130.65334115101797</v>
      </c>
      <c r="L112" s="29">
        <v>-39.511667934101354</v>
      </c>
      <c r="M112" s="29">
        <v>0</v>
      </c>
      <c r="N112" s="29">
        <v>-67.292986686109018</v>
      </c>
      <c r="O112" s="29">
        <v>0</v>
      </c>
      <c r="P112" s="29">
        <v>-63.360354464908937</v>
      </c>
      <c r="Q112" s="29">
        <v>39.511667934101354</v>
      </c>
      <c r="R112" s="29">
        <v>0</v>
      </c>
      <c r="S112" s="29">
        <v>262.70515387166205</v>
      </c>
      <c r="T112" s="29">
        <v>0</v>
      </c>
      <c r="U112" s="29">
        <v>0</v>
      </c>
      <c r="V112" s="29">
        <v>-207.55911589396231</v>
      </c>
      <c r="W112" s="29">
        <v>0</v>
      </c>
      <c r="X112" s="29">
        <v>-16.9060857868987</v>
      </c>
      <c r="Y112" s="29">
        <v>0</v>
      </c>
      <c r="Z112" s="29">
        <v>-38.239952190801034</v>
      </c>
    </row>
    <row r="113" spans="2:26" x14ac:dyDescent="0.25">
      <c r="B113" t="s">
        <v>17</v>
      </c>
      <c r="C113" s="29">
        <v>160.01468198033047</v>
      </c>
      <c r="D113" s="29">
        <v>-219.6982289650515</v>
      </c>
      <c r="E113" s="29">
        <v>0</v>
      </c>
      <c r="F113" s="29">
        <v>-160.01468198033047</v>
      </c>
      <c r="G113" s="29">
        <v>54.698228965051506</v>
      </c>
      <c r="H113" s="29">
        <v>0</v>
      </c>
      <c r="I113" s="29">
        <v>165</v>
      </c>
      <c r="J113" s="29">
        <v>0</v>
      </c>
      <c r="K113" s="29">
        <v>232.52354259020302</v>
      </c>
      <c r="L113" s="29">
        <v>-165</v>
      </c>
      <c r="M113" s="29">
        <v>0</v>
      </c>
      <c r="N113" s="29">
        <v>-216.38367529018092</v>
      </c>
      <c r="O113" s="29">
        <v>0</v>
      </c>
      <c r="P113" s="29">
        <v>-16.139867300022107</v>
      </c>
      <c r="Q113" s="29">
        <v>165</v>
      </c>
      <c r="R113" s="29">
        <v>0</v>
      </c>
      <c r="S113" s="29">
        <v>422.98417534712235</v>
      </c>
      <c r="T113" s="29">
        <v>-90.712073852875946</v>
      </c>
      <c r="U113" s="29">
        <v>0</v>
      </c>
      <c r="V113" s="29">
        <v>-208.72103541863567</v>
      </c>
      <c r="W113" s="29">
        <v>0</v>
      </c>
      <c r="X113" s="29">
        <v>-214.26313992848671</v>
      </c>
      <c r="Y113" s="29">
        <v>90.712073852875946</v>
      </c>
      <c r="Z113" s="29">
        <v>0</v>
      </c>
    </row>
    <row r="114" spans="2:26" x14ac:dyDescent="0.25">
      <c r="B114" t="s">
        <v>18</v>
      </c>
      <c r="C114" s="29">
        <v>160.83917671454091</v>
      </c>
      <c r="D114" s="29">
        <v>-247.07501192513917</v>
      </c>
      <c r="E114" s="29">
        <v>0</v>
      </c>
      <c r="F114" s="29">
        <v>-160.83917671454091</v>
      </c>
      <c r="G114" s="29">
        <v>97.491072720622796</v>
      </c>
      <c r="H114" s="29">
        <v>0</v>
      </c>
      <c r="I114" s="29">
        <v>149.58393920451635</v>
      </c>
      <c r="J114" s="29">
        <v>0</v>
      </c>
      <c r="K114" s="29">
        <v>222.30328602598718</v>
      </c>
      <c r="L114" s="29">
        <v>-162.98459128096809</v>
      </c>
      <c r="M114" s="29">
        <v>0</v>
      </c>
      <c r="N114" s="29">
        <v>-218.51747483128543</v>
      </c>
      <c r="O114" s="29">
        <v>0</v>
      </c>
      <c r="P114" s="29">
        <v>-3.7858111947017505</v>
      </c>
      <c r="Q114" s="29">
        <v>162.98459128096809</v>
      </c>
      <c r="R114" s="29">
        <v>0</v>
      </c>
      <c r="S114" s="29">
        <v>327.24512935019084</v>
      </c>
      <c r="T114" s="29">
        <v>-85.285532491985336</v>
      </c>
      <c r="U114" s="29">
        <v>0</v>
      </c>
      <c r="V114" s="29">
        <v>-205.38375710260394</v>
      </c>
      <c r="W114" s="29">
        <v>0</v>
      </c>
      <c r="X114" s="29">
        <v>-121.86137224758693</v>
      </c>
      <c r="Y114" s="29">
        <v>85.285532491985336</v>
      </c>
      <c r="Z114" s="29">
        <v>0</v>
      </c>
    </row>
    <row r="115" spans="2:26" x14ac:dyDescent="0.25">
      <c r="B115" t="s">
        <v>19</v>
      </c>
      <c r="C115" s="29">
        <v>57.871010671293618</v>
      </c>
      <c r="D115" s="29">
        <v>-188.46154580930047</v>
      </c>
      <c r="E115" s="29">
        <v>0</v>
      </c>
      <c r="F115" s="29">
        <v>-57.871010671293618</v>
      </c>
      <c r="G115" s="29">
        <v>123.00103194870201</v>
      </c>
      <c r="H115" s="29">
        <v>0</v>
      </c>
      <c r="I115" s="29">
        <v>65.460513860598468</v>
      </c>
      <c r="J115" s="29">
        <v>0</v>
      </c>
      <c r="K115" s="29">
        <v>127.72432840408324</v>
      </c>
      <c r="L115" s="29">
        <v>-167.49599821119853</v>
      </c>
      <c r="M115" s="29">
        <v>0</v>
      </c>
      <c r="N115" s="29">
        <v>-127.72432840408324</v>
      </c>
      <c r="O115" s="29">
        <v>106.6788520416394</v>
      </c>
      <c r="P115" s="29">
        <v>0</v>
      </c>
      <c r="Q115" s="29">
        <v>60.817146169559123</v>
      </c>
      <c r="R115" s="29">
        <v>0</v>
      </c>
      <c r="S115" s="29">
        <v>314.62765701033754</v>
      </c>
      <c r="T115" s="29">
        <v>0</v>
      </c>
      <c r="U115" s="29">
        <v>0</v>
      </c>
      <c r="V115" s="29">
        <v>-213.96401095685579</v>
      </c>
      <c r="W115" s="29">
        <v>0</v>
      </c>
      <c r="X115" s="29">
        <v>-89.457664380046367</v>
      </c>
      <c r="Y115" s="29">
        <v>0</v>
      </c>
      <c r="Z115" s="29">
        <v>-11.205981673435417</v>
      </c>
    </row>
    <row r="116" spans="2:26" x14ac:dyDescent="0.25">
      <c r="B116" t="s">
        <v>20</v>
      </c>
      <c r="C116" s="29">
        <v>158.62298332718322</v>
      </c>
      <c r="D116" s="29">
        <v>-95.519128578335895</v>
      </c>
      <c r="E116" s="29">
        <v>0</v>
      </c>
      <c r="F116" s="29">
        <v>-58.45922401990417</v>
      </c>
      <c r="G116" s="29">
        <v>95.519128578335895</v>
      </c>
      <c r="H116" s="29">
        <v>0</v>
      </c>
      <c r="I116" s="29">
        <v>0</v>
      </c>
      <c r="J116" s="29">
        <v>-100.16375930727905</v>
      </c>
      <c r="K116" s="29">
        <v>211.34110772518562</v>
      </c>
      <c r="L116" s="29">
        <v>-58.468054641207686</v>
      </c>
      <c r="M116" s="29">
        <v>0</v>
      </c>
      <c r="N116" s="29">
        <v>-66.457344858382967</v>
      </c>
      <c r="O116" s="29">
        <v>58.468054641207686</v>
      </c>
      <c r="P116" s="29">
        <v>0</v>
      </c>
      <c r="Q116" s="29">
        <v>0</v>
      </c>
      <c r="R116" s="29">
        <v>-144.88376286680267</v>
      </c>
      <c r="S116" s="29">
        <v>222.31725285342063</v>
      </c>
      <c r="T116" s="29">
        <v>-133.20366967408756</v>
      </c>
      <c r="U116" s="29">
        <v>0</v>
      </c>
      <c r="V116" s="29">
        <v>-222.31725285342063</v>
      </c>
      <c r="W116" s="29">
        <v>48.296941263681568</v>
      </c>
      <c r="X116" s="29">
        <v>0</v>
      </c>
      <c r="Y116" s="29">
        <v>84.906728410405989</v>
      </c>
      <c r="Z116" s="29">
        <v>0</v>
      </c>
    </row>
    <row r="117" spans="2:26" x14ac:dyDescent="0.25">
      <c r="B117" t="s">
        <v>21</v>
      </c>
      <c r="C117" s="29">
        <v>165</v>
      </c>
      <c r="D117" s="29">
        <v>-74.835135390818763</v>
      </c>
      <c r="E117" s="29">
        <v>20.892917048371377</v>
      </c>
      <c r="F117" s="29">
        <v>0</v>
      </c>
      <c r="G117" s="29">
        <v>53.94221834244739</v>
      </c>
      <c r="H117" s="29">
        <v>0</v>
      </c>
      <c r="I117" s="29">
        <v>0</v>
      </c>
      <c r="J117" s="29">
        <v>-165</v>
      </c>
      <c r="K117" s="29">
        <v>144.70914919141165</v>
      </c>
      <c r="L117" s="29">
        <v>0</v>
      </c>
      <c r="M117" s="29">
        <v>0</v>
      </c>
      <c r="N117" s="29">
        <v>-83.635596989426517</v>
      </c>
      <c r="O117" s="29">
        <v>0</v>
      </c>
      <c r="P117" s="29">
        <v>-3.0284546629160332</v>
      </c>
      <c r="Q117" s="29">
        <v>0</v>
      </c>
      <c r="R117" s="29">
        <v>-58.045097539069118</v>
      </c>
      <c r="S117" s="29">
        <v>271.8576111493885</v>
      </c>
      <c r="T117" s="29">
        <v>-209.0162706107561</v>
      </c>
      <c r="U117" s="29">
        <v>0</v>
      </c>
      <c r="V117" s="29">
        <v>-241.68650140202379</v>
      </c>
      <c r="W117" s="29">
        <v>209.0162706107561</v>
      </c>
      <c r="X117" s="29">
        <v>0</v>
      </c>
      <c r="Y117" s="29">
        <v>0</v>
      </c>
      <c r="Z117" s="29">
        <v>-30.17110974736471</v>
      </c>
    </row>
    <row r="118" spans="2:26" x14ac:dyDescent="0.25">
      <c r="B118" t="s">
        <v>22</v>
      </c>
      <c r="C118" s="29">
        <v>165</v>
      </c>
      <c r="D118" s="29">
        <v>-43.147396052012141</v>
      </c>
      <c r="E118" s="29">
        <v>14.499491330853061</v>
      </c>
      <c r="F118" s="29">
        <v>0</v>
      </c>
      <c r="G118" s="29">
        <v>28.64790472115908</v>
      </c>
      <c r="H118" s="29">
        <v>0</v>
      </c>
      <c r="I118" s="29">
        <v>0</v>
      </c>
      <c r="J118" s="29">
        <v>-165</v>
      </c>
      <c r="K118" s="29">
        <v>155.60511315514941</v>
      </c>
      <c r="L118" s="29">
        <v>0</v>
      </c>
      <c r="M118" s="29">
        <v>0</v>
      </c>
      <c r="N118" s="29">
        <v>-90.631821405195865</v>
      </c>
      <c r="O118" s="29">
        <v>0</v>
      </c>
      <c r="P118" s="29">
        <v>-37.508664791816955</v>
      </c>
      <c r="Q118" s="29">
        <v>0</v>
      </c>
      <c r="R118" s="29">
        <v>-27.464626958136591</v>
      </c>
      <c r="S118" s="29">
        <v>285.59506912888844</v>
      </c>
      <c r="T118" s="29">
        <v>-197.80304794290896</v>
      </c>
      <c r="U118" s="29">
        <v>0</v>
      </c>
      <c r="V118" s="29">
        <v>-249.27306487749198</v>
      </c>
      <c r="W118" s="29">
        <v>197.80304794290896</v>
      </c>
      <c r="X118" s="29">
        <v>0</v>
      </c>
      <c r="Y118" s="29">
        <v>0</v>
      </c>
      <c r="Z118" s="29">
        <v>-36.322004251396486</v>
      </c>
    </row>
    <row r="119" spans="2:26" x14ac:dyDescent="0.25">
      <c r="B119" t="s">
        <v>23</v>
      </c>
      <c r="C119" s="29">
        <v>165</v>
      </c>
      <c r="D119" s="29">
        <v>-67.298841521680572</v>
      </c>
      <c r="E119" s="29">
        <v>32.957582377888741</v>
      </c>
      <c r="F119" s="29">
        <v>0</v>
      </c>
      <c r="G119" s="29">
        <v>34.341259143791831</v>
      </c>
      <c r="H119" s="29">
        <v>0</v>
      </c>
      <c r="I119" s="29">
        <v>0</v>
      </c>
      <c r="J119" s="29">
        <v>-165</v>
      </c>
      <c r="K119" s="29">
        <v>116.6717741224636</v>
      </c>
      <c r="L119" s="29">
        <v>-33.111161700893376</v>
      </c>
      <c r="M119" s="29">
        <v>0</v>
      </c>
      <c r="N119" s="29">
        <v>-78.683029074786759</v>
      </c>
      <c r="O119" s="29">
        <v>0</v>
      </c>
      <c r="P119" s="29">
        <v>-37.988745047676844</v>
      </c>
      <c r="Q119" s="29">
        <v>33.111161700893376</v>
      </c>
      <c r="R119" s="29">
        <v>0</v>
      </c>
      <c r="S119" s="29">
        <v>275.43735827697782</v>
      </c>
      <c r="T119" s="29">
        <v>-229.76765699432789</v>
      </c>
      <c r="U119" s="29">
        <v>0</v>
      </c>
      <c r="V119" s="29">
        <v>-244.15150876350953</v>
      </c>
      <c r="W119" s="29">
        <v>229.76765699432789</v>
      </c>
      <c r="X119" s="29">
        <v>0</v>
      </c>
      <c r="Y119" s="29">
        <v>0</v>
      </c>
      <c r="Z119" s="29">
        <v>-31.285849513468293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25E58-1EF2-416F-973A-78E9FF8D9468}">
  <dimension ref="B1:AA117"/>
  <sheetViews>
    <sheetView tabSelected="1" topLeftCell="A83" workbookViewId="0">
      <selection activeCell="D94" sqref="D94:AA117"/>
    </sheetView>
  </sheetViews>
  <sheetFormatPr baseColWidth="10" defaultRowHeight="15" x14ac:dyDescent="0.25"/>
  <sheetData>
    <row r="1" spans="2:19" x14ac:dyDescent="0.25">
      <c r="B1">
        <v>2030</v>
      </c>
    </row>
    <row r="3" spans="2:19" x14ac:dyDescent="0.25">
      <c r="C3" t="s">
        <v>48</v>
      </c>
      <c r="G3" t="s">
        <v>47</v>
      </c>
      <c r="I3" t="s">
        <v>28</v>
      </c>
      <c r="K3" t="s">
        <v>25</v>
      </c>
      <c r="L3" t="s">
        <v>56</v>
      </c>
      <c r="N3" t="s">
        <v>59</v>
      </c>
      <c r="P3" t="s">
        <v>60</v>
      </c>
      <c r="R3" t="s">
        <v>61</v>
      </c>
    </row>
    <row r="4" spans="2:19" x14ac:dyDescent="0.25">
      <c r="C4" t="s">
        <v>44</v>
      </c>
      <c r="D4" t="s">
        <v>45</v>
      </c>
      <c r="E4" t="s">
        <v>46</v>
      </c>
      <c r="G4" t="s">
        <v>46</v>
      </c>
      <c r="I4" t="s">
        <v>45</v>
      </c>
      <c r="K4" t="s">
        <v>44</v>
      </c>
      <c r="L4" t="s">
        <v>57</v>
      </c>
      <c r="M4" t="s">
        <v>58</v>
      </c>
      <c r="N4" t="s">
        <v>57</v>
      </c>
      <c r="O4" t="s">
        <v>58</v>
      </c>
      <c r="P4" t="s">
        <v>57</v>
      </c>
      <c r="Q4" t="s">
        <v>58</v>
      </c>
      <c r="R4" t="s">
        <v>57</v>
      </c>
      <c r="S4" t="s">
        <v>58</v>
      </c>
    </row>
    <row r="5" spans="2:19" x14ac:dyDescent="0.25">
      <c r="C5">
        <v>132.22430348421108</v>
      </c>
      <c r="D5">
        <v>0</v>
      </c>
      <c r="E5">
        <v>0</v>
      </c>
      <c r="G5">
        <v>-146.37519907280588</v>
      </c>
      <c r="I5">
        <v>-45.594692705410502</v>
      </c>
      <c r="K5">
        <v>0</v>
      </c>
      <c r="L5">
        <f>$C5+$D5+$E5</f>
        <v>132.22430348421108</v>
      </c>
      <c r="M5">
        <f>G5+I5+K5</f>
        <v>-191.96989177821638</v>
      </c>
      <c r="N5">
        <f>-K5</f>
        <v>0</v>
      </c>
      <c r="O5">
        <f>-C5</f>
        <v>-132.22430348421108</v>
      </c>
      <c r="P5">
        <f>-G5</f>
        <v>146.37519907280588</v>
      </c>
      <c r="Q5">
        <f>-E5</f>
        <v>0</v>
      </c>
      <c r="R5">
        <f>-I5</f>
        <v>45.594692705410502</v>
      </c>
      <c r="S5">
        <f>-D5</f>
        <v>0</v>
      </c>
    </row>
    <row r="6" spans="2:19" x14ac:dyDescent="0.25">
      <c r="C6">
        <v>165.21593529960313</v>
      </c>
      <c r="D6">
        <v>0</v>
      </c>
      <c r="E6">
        <v>0</v>
      </c>
      <c r="G6">
        <v>-260</v>
      </c>
      <c r="I6">
        <v>-16.235399936545775</v>
      </c>
      <c r="K6">
        <v>0</v>
      </c>
      <c r="L6">
        <f t="shared" ref="L6:L28" si="0">C6+D6+E6</f>
        <v>165.21593529960313</v>
      </c>
      <c r="M6">
        <f t="shared" ref="M6:M28" si="1">G6+I6+K6</f>
        <v>-276.23539993654578</v>
      </c>
      <c r="N6">
        <f t="shared" ref="N6:N28" si="2">-K6</f>
        <v>0</v>
      </c>
      <c r="O6">
        <f t="shared" ref="O6:O28" si="3">-C6</f>
        <v>-165.21593529960313</v>
      </c>
      <c r="P6">
        <f t="shared" ref="P6:P28" si="4">-G6</f>
        <v>260</v>
      </c>
      <c r="Q6">
        <f t="shared" ref="Q6:Q28" si="5">-E6</f>
        <v>0</v>
      </c>
      <c r="R6">
        <f t="shared" ref="R6:R28" si="6">-I6</f>
        <v>16.235399936545775</v>
      </c>
      <c r="S6">
        <f t="shared" ref="S6:S28" si="7">-D6</f>
        <v>0</v>
      </c>
    </row>
    <row r="7" spans="2:19" x14ac:dyDescent="0.25">
      <c r="C7">
        <v>163.88693820434932</v>
      </c>
      <c r="D7">
        <v>0</v>
      </c>
      <c r="E7">
        <v>0</v>
      </c>
      <c r="G7">
        <v>-260</v>
      </c>
      <c r="I7">
        <v>-13.198208540973095</v>
      </c>
      <c r="K7">
        <v>0</v>
      </c>
      <c r="L7">
        <f t="shared" si="0"/>
        <v>163.88693820434932</v>
      </c>
      <c r="M7">
        <f t="shared" si="1"/>
        <v>-273.1982085409731</v>
      </c>
      <c r="N7">
        <f t="shared" si="2"/>
        <v>0</v>
      </c>
      <c r="O7">
        <f t="shared" si="3"/>
        <v>-163.88693820434932</v>
      </c>
      <c r="P7">
        <f t="shared" si="4"/>
        <v>260</v>
      </c>
      <c r="Q7">
        <f t="shared" si="5"/>
        <v>0</v>
      </c>
      <c r="R7">
        <f t="shared" si="6"/>
        <v>13.198208540973095</v>
      </c>
      <c r="S7">
        <f t="shared" si="7"/>
        <v>0</v>
      </c>
    </row>
    <row r="8" spans="2:19" x14ac:dyDescent="0.25">
      <c r="C8">
        <v>86.624605101073428</v>
      </c>
      <c r="D8">
        <v>165</v>
      </c>
      <c r="E8">
        <v>0</v>
      </c>
      <c r="G8">
        <v>-251.74134219747253</v>
      </c>
      <c r="I8">
        <v>0</v>
      </c>
      <c r="K8">
        <v>0</v>
      </c>
      <c r="L8">
        <f t="shared" si="0"/>
        <v>251.62460510107343</v>
      </c>
      <c r="M8">
        <f t="shared" si="1"/>
        <v>-251.74134219747253</v>
      </c>
      <c r="N8">
        <f t="shared" si="2"/>
        <v>0</v>
      </c>
      <c r="O8">
        <f t="shared" si="3"/>
        <v>-86.624605101073428</v>
      </c>
      <c r="P8">
        <f t="shared" si="4"/>
        <v>251.74134219747253</v>
      </c>
      <c r="Q8">
        <f t="shared" si="5"/>
        <v>0</v>
      </c>
      <c r="R8">
        <f t="shared" si="6"/>
        <v>0</v>
      </c>
      <c r="S8">
        <f t="shared" si="7"/>
        <v>-165</v>
      </c>
    </row>
    <row r="9" spans="2:19" x14ac:dyDescent="0.25">
      <c r="C9">
        <v>104.56848269378429</v>
      </c>
      <c r="D9">
        <v>0</v>
      </c>
      <c r="E9">
        <v>0</v>
      </c>
      <c r="G9">
        <v>-155.0554898845138</v>
      </c>
      <c r="I9">
        <v>-64.214796119252242</v>
      </c>
      <c r="K9">
        <v>0</v>
      </c>
      <c r="L9">
        <f t="shared" si="0"/>
        <v>104.56848269378429</v>
      </c>
      <c r="M9">
        <f t="shared" si="1"/>
        <v>-219.27028600376605</v>
      </c>
      <c r="N9">
        <f t="shared" si="2"/>
        <v>0</v>
      </c>
      <c r="O9">
        <f t="shared" si="3"/>
        <v>-104.56848269378429</v>
      </c>
      <c r="P9">
        <f t="shared" si="4"/>
        <v>155.0554898845138</v>
      </c>
      <c r="Q9">
        <f t="shared" si="5"/>
        <v>0</v>
      </c>
      <c r="R9">
        <f t="shared" si="6"/>
        <v>64.214796119252242</v>
      </c>
      <c r="S9">
        <f t="shared" si="7"/>
        <v>0</v>
      </c>
    </row>
    <row r="10" spans="2:19" x14ac:dyDescent="0.25">
      <c r="C10">
        <v>100.41035270007259</v>
      </c>
      <c r="D10">
        <v>0</v>
      </c>
      <c r="E10">
        <v>23.715964670041931</v>
      </c>
      <c r="G10">
        <v>0</v>
      </c>
      <c r="I10">
        <v>-165</v>
      </c>
      <c r="K10">
        <v>0</v>
      </c>
      <c r="L10">
        <f t="shared" si="0"/>
        <v>124.12631737011452</v>
      </c>
      <c r="M10">
        <f t="shared" si="1"/>
        <v>-165</v>
      </c>
      <c r="N10">
        <f t="shared" si="2"/>
        <v>0</v>
      </c>
      <c r="O10">
        <f t="shared" si="3"/>
        <v>-100.41035270007259</v>
      </c>
      <c r="P10">
        <f t="shared" si="4"/>
        <v>0</v>
      </c>
      <c r="Q10">
        <f t="shared" si="5"/>
        <v>-23.715964670041931</v>
      </c>
      <c r="R10">
        <f t="shared" si="6"/>
        <v>165</v>
      </c>
      <c r="S10">
        <f t="shared" si="7"/>
        <v>0</v>
      </c>
    </row>
    <row r="11" spans="2:19" x14ac:dyDescent="0.25">
      <c r="C11">
        <v>93.702448636097898</v>
      </c>
      <c r="D11">
        <v>0</v>
      </c>
      <c r="E11">
        <v>38.412951413942181</v>
      </c>
      <c r="G11">
        <v>0</v>
      </c>
      <c r="I11">
        <v>-165</v>
      </c>
      <c r="K11">
        <v>0</v>
      </c>
      <c r="L11">
        <f t="shared" si="0"/>
        <v>132.11540005004008</v>
      </c>
      <c r="M11">
        <f t="shared" si="1"/>
        <v>-165</v>
      </c>
      <c r="N11">
        <f t="shared" si="2"/>
        <v>0</v>
      </c>
      <c r="O11">
        <f t="shared" si="3"/>
        <v>-93.702448636097898</v>
      </c>
      <c r="P11">
        <f t="shared" si="4"/>
        <v>0</v>
      </c>
      <c r="Q11">
        <f t="shared" si="5"/>
        <v>-38.412951413942181</v>
      </c>
      <c r="R11">
        <f t="shared" si="6"/>
        <v>165</v>
      </c>
      <c r="S11">
        <f t="shared" si="7"/>
        <v>0</v>
      </c>
    </row>
    <row r="12" spans="2:19" x14ac:dyDescent="0.25">
      <c r="C12">
        <v>146.33854029140772</v>
      </c>
      <c r="D12">
        <v>0</v>
      </c>
      <c r="E12">
        <v>0</v>
      </c>
      <c r="G12">
        <v>-139.20854688347822</v>
      </c>
      <c r="I12">
        <v>-99.602389052532857</v>
      </c>
      <c r="K12">
        <v>0</v>
      </c>
      <c r="L12">
        <f t="shared" si="0"/>
        <v>146.33854029140772</v>
      </c>
      <c r="M12">
        <f t="shared" si="1"/>
        <v>-238.81093593601108</v>
      </c>
      <c r="N12">
        <f t="shared" si="2"/>
        <v>0</v>
      </c>
      <c r="O12">
        <f t="shared" si="3"/>
        <v>-146.33854029140772</v>
      </c>
      <c r="P12">
        <f t="shared" si="4"/>
        <v>139.20854688347822</v>
      </c>
      <c r="Q12">
        <f t="shared" si="5"/>
        <v>0</v>
      </c>
      <c r="R12">
        <f t="shared" si="6"/>
        <v>99.602389052532857</v>
      </c>
      <c r="S12">
        <f t="shared" si="7"/>
        <v>0</v>
      </c>
    </row>
    <row r="13" spans="2:19" x14ac:dyDescent="0.25">
      <c r="C13">
        <v>106.17000002146369</v>
      </c>
      <c r="D13">
        <v>118.0072205727532</v>
      </c>
      <c r="E13">
        <v>0</v>
      </c>
      <c r="G13">
        <v>-217.42957933098523</v>
      </c>
      <c r="I13">
        <v>0</v>
      </c>
      <c r="K13">
        <v>0</v>
      </c>
      <c r="L13">
        <f t="shared" si="0"/>
        <v>224.17722059421689</v>
      </c>
      <c r="M13">
        <f t="shared" si="1"/>
        <v>-217.42957933098523</v>
      </c>
      <c r="N13">
        <f t="shared" si="2"/>
        <v>0</v>
      </c>
      <c r="O13">
        <f t="shared" si="3"/>
        <v>-106.17000002146369</v>
      </c>
      <c r="P13">
        <f t="shared" si="4"/>
        <v>217.42957933098523</v>
      </c>
      <c r="Q13">
        <f t="shared" si="5"/>
        <v>0</v>
      </c>
      <c r="R13">
        <f t="shared" si="6"/>
        <v>0</v>
      </c>
      <c r="S13">
        <f t="shared" si="7"/>
        <v>-118.0072205727532</v>
      </c>
    </row>
    <row r="14" spans="2:19" x14ac:dyDescent="0.25">
      <c r="C14">
        <v>14.960429334955393</v>
      </c>
      <c r="D14">
        <v>165</v>
      </c>
      <c r="E14">
        <v>0</v>
      </c>
      <c r="G14">
        <v>-180.91420098039907</v>
      </c>
      <c r="I14">
        <v>0</v>
      </c>
      <c r="K14">
        <v>0</v>
      </c>
      <c r="L14">
        <f t="shared" si="0"/>
        <v>179.96042933495539</v>
      </c>
      <c r="M14">
        <f t="shared" si="1"/>
        <v>-180.91420098039907</v>
      </c>
      <c r="N14">
        <f t="shared" si="2"/>
        <v>0</v>
      </c>
      <c r="O14">
        <f t="shared" si="3"/>
        <v>-14.960429334955393</v>
      </c>
      <c r="P14">
        <f t="shared" si="4"/>
        <v>180.91420098039907</v>
      </c>
      <c r="Q14">
        <f t="shared" si="5"/>
        <v>0</v>
      </c>
      <c r="R14">
        <f t="shared" si="6"/>
        <v>0</v>
      </c>
      <c r="S14">
        <f t="shared" si="7"/>
        <v>-165</v>
      </c>
    </row>
    <row r="15" spans="2:19" x14ac:dyDescent="0.25">
      <c r="C15">
        <v>0</v>
      </c>
      <c r="D15">
        <v>165</v>
      </c>
      <c r="E15">
        <v>0</v>
      </c>
      <c r="G15">
        <v>-148.04854331487928</v>
      </c>
      <c r="I15">
        <v>0</v>
      </c>
      <c r="K15">
        <v>-13.71855077512441</v>
      </c>
      <c r="L15">
        <f t="shared" si="0"/>
        <v>165</v>
      </c>
      <c r="M15">
        <f t="shared" si="1"/>
        <v>-161.7670940900037</v>
      </c>
      <c r="N15">
        <f t="shared" si="2"/>
        <v>13.71855077512441</v>
      </c>
      <c r="O15">
        <f t="shared" si="3"/>
        <v>0</v>
      </c>
      <c r="P15">
        <f t="shared" si="4"/>
        <v>148.04854331487928</v>
      </c>
      <c r="Q15">
        <f t="shared" si="5"/>
        <v>0</v>
      </c>
      <c r="R15">
        <f t="shared" si="6"/>
        <v>0</v>
      </c>
      <c r="S15">
        <f t="shared" si="7"/>
        <v>-165</v>
      </c>
    </row>
    <row r="16" spans="2:19" x14ac:dyDescent="0.25">
      <c r="C16">
        <v>64.680305345507534</v>
      </c>
      <c r="D16">
        <v>119.15488474035719</v>
      </c>
      <c r="E16">
        <v>0</v>
      </c>
      <c r="G16">
        <v>-135.09294937962579</v>
      </c>
      <c r="I16">
        <v>0</v>
      </c>
      <c r="K16">
        <v>0</v>
      </c>
      <c r="L16">
        <f t="shared" si="0"/>
        <v>183.83519008586472</v>
      </c>
      <c r="M16">
        <f t="shared" si="1"/>
        <v>-135.09294937962579</v>
      </c>
      <c r="N16">
        <f t="shared" si="2"/>
        <v>0</v>
      </c>
      <c r="O16">
        <f t="shared" si="3"/>
        <v>-64.680305345507534</v>
      </c>
      <c r="P16">
        <f t="shared" si="4"/>
        <v>135.09294937962579</v>
      </c>
      <c r="Q16">
        <f t="shared" si="5"/>
        <v>0</v>
      </c>
      <c r="R16">
        <f t="shared" si="6"/>
        <v>0</v>
      </c>
      <c r="S16">
        <f t="shared" si="7"/>
        <v>-119.15488474035719</v>
      </c>
    </row>
    <row r="17" spans="2:19" x14ac:dyDescent="0.25">
      <c r="C17">
        <v>0</v>
      </c>
      <c r="D17">
        <v>165</v>
      </c>
      <c r="E17">
        <v>0</v>
      </c>
      <c r="G17">
        <v>-86.243314992513206</v>
      </c>
      <c r="I17">
        <v>0</v>
      </c>
      <c r="K17">
        <v>-11.124512785563526</v>
      </c>
      <c r="L17">
        <f t="shared" si="0"/>
        <v>165</v>
      </c>
      <c r="M17">
        <f t="shared" si="1"/>
        <v>-97.36782777807673</v>
      </c>
      <c r="N17">
        <f t="shared" si="2"/>
        <v>11.124512785563526</v>
      </c>
      <c r="O17">
        <f t="shared" si="3"/>
        <v>0</v>
      </c>
      <c r="P17">
        <f t="shared" si="4"/>
        <v>86.243314992513206</v>
      </c>
      <c r="Q17">
        <f t="shared" si="5"/>
        <v>0</v>
      </c>
      <c r="R17">
        <f t="shared" si="6"/>
        <v>0</v>
      </c>
      <c r="S17">
        <f t="shared" si="7"/>
        <v>-165</v>
      </c>
    </row>
    <row r="18" spans="2:19" x14ac:dyDescent="0.25">
      <c r="C18">
        <v>0</v>
      </c>
      <c r="D18">
        <v>165</v>
      </c>
      <c r="E18">
        <v>0</v>
      </c>
      <c r="G18">
        <v>-96.558624323248083</v>
      </c>
      <c r="I18">
        <v>0</v>
      </c>
      <c r="K18">
        <v>-2.1483604954382258</v>
      </c>
      <c r="L18">
        <f t="shared" si="0"/>
        <v>165</v>
      </c>
      <c r="M18">
        <f t="shared" si="1"/>
        <v>-98.706984818686308</v>
      </c>
      <c r="N18">
        <f t="shared" si="2"/>
        <v>2.1483604954382258</v>
      </c>
      <c r="O18">
        <f t="shared" si="3"/>
        <v>0</v>
      </c>
      <c r="P18">
        <f t="shared" si="4"/>
        <v>96.558624323248083</v>
      </c>
      <c r="Q18">
        <f t="shared" si="5"/>
        <v>0</v>
      </c>
      <c r="R18">
        <f t="shared" si="6"/>
        <v>0</v>
      </c>
      <c r="S18">
        <f t="shared" si="7"/>
        <v>-165</v>
      </c>
    </row>
    <row r="19" spans="2:19" x14ac:dyDescent="0.25">
      <c r="C19">
        <v>0</v>
      </c>
      <c r="D19">
        <v>165</v>
      </c>
      <c r="E19">
        <v>0</v>
      </c>
      <c r="G19">
        <v>-92.396867246245193</v>
      </c>
      <c r="I19">
        <v>0</v>
      </c>
      <c r="K19">
        <v>-1.6760534193747962</v>
      </c>
      <c r="L19">
        <f t="shared" si="0"/>
        <v>165</v>
      </c>
      <c r="M19">
        <f t="shared" si="1"/>
        <v>-94.072920665619989</v>
      </c>
      <c r="N19">
        <f t="shared" si="2"/>
        <v>1.6760534193747962</v>
      </c>
      <c r="O19">
        <f t="shared" si="3"/>
        <v>0</v>
      </c>
      <c r="P19">
        <f t="shared" si="4"/>
        <v>92.396867246245193</v>
      </c>
      <c r="Q19">
        <f t="shared" si="5"/>
        <v>0</v>
      </c>
      <c r="R19">
        <f t="shared" si="6"/>
        <v>0</v>
      </c>
      <c r="S19">
        <f t="shared" si="7"/>
        <v>-165</v>
      </c>
    </row>
    <row r="20" spans="2:19" x14ac:dyDescent="0.25">
      <c r="C20">
        <v>0</v>
      </c>
      <c r="D20">
        <v>146.36633153944132</v>
      </c>
      <c r="E20">
        <v>0</v>
      </c>
      <c r="G20">
        <v>-73.27828586375675</v>
      </c>
      <c r="I20">
        <v>0</v>
      </c>
      <c r="K20">
        <v>-45.437776408802002</v>
      </c>
      <c r="L20">
        <f t="shared" si="0"/>
        <v>146.36633153944132</v>
      </c>
      <c r="M20">
        <f t="shared" si="1"/>
        <v>-118.71606227255876</v>
      </c>
      <c r="N20">
        <f t="shared" si="2"/>
        <v>45.437776408802002</v>
      </c>
      <c r="O20">
        <f t="shared" si="3"/>
        <v>0</v>
      </c>
      <c r="P20">
        <f t="shared" si="4"/>
        <v>73.27828586375675</v>
      </c>
      <c r="Q20">
        <f t="shared" si="5"/>
        <v>0</v>
      </c>
      <c r="R20">
        <f t="shared" si="6"/>
        <v>0</v>
      </c>
      <c r="S20">
        <f t="shared" si="7"/>
        <v>-146.36633153944132</v>
      </c>
    </row>
    <row r="21" spans="2:19" x14ac:dyDescent="0.25">
      <c r="C21">
        <v>17.674550285532352</v>
      </c>
      <c r="D21">
        <v>0</v>
      </c>
      <c r="E21">
        <v>0</v>
      </c>
      <c r="G21">
        <v>-69.76725631381457</v>
      </c>
      <c r="I21">
        <v>-63.358556126947747</v>
      </c>
      <c r="K21">
        <v>0</v>
      </c>
      <c r="L21">
        <f t="shared" si="0"/>
        <v>17.674550285532352</v>
      </c>
      <c r="M21">
        <f t="shared" si="1"/>
        <v>-133.12581244076233</v>
      </c>
      <c r="N21">
        <f t="shared" si="2"/>
        <v>0</v>
      </c>
      <c r="O21">
        <f t="shared" si="3"/>
        <v>-17.674550285532352</v>
      </c>
      <c r="P21">
        <f t="shared" si="4"/>
        <v>69.76725631381457</v>
      </c>
      <c r="Q21">
        <f t="shared" si="5"/>
        <v>0</v>
      </c>
      <c r="R21">
        <f t="shared" si="6"/>
        <v>63.358556126947747</v>
      </c>
      <c r="S21">
        <f t="shared" si="7"/>
        <v>0</v>
      </c>
    </row>
    <row r="22" spans="2:19" x14ac:dyDescent="0.25">
      <c r="C22">
        <v>110.6914485641862</v>
      </c>
      <c r="D22">
        <v>0</v>
      </c>
      <c r="E22">
        <v>5.7426603846956557</v>
      </c>
      <c r="G22">
        <v>0</v>
      </c>
      <c r="I22">
        <v>-165</v>
      </c>
      <c r="K22">
        <v>0</v>
      </c>
      <c r="L22">
        <f t="shared" si="0"/>
        <v>116.43410894888186</v>
      </c>
      <c r="M22">
        <f t="shared" si="1"/>
        <v>-165</v>
      </c>
      <c r="N22">
        <f t="shared" si="2"/>
        <v>0</v>
      </c>
      <c r="O22">
        <f t="shared" si="3"/>
        <v>-110.6914485641862</v>
      </c>
      <c r="P22">
        <f t="shared" si="4"/>
        <v>0</v>
      </c>
      <c r="Q22">
        <f t="shared" si="5"/>
        <v>-5.7426603846956557</v>
      </c>
      <c r="R22">
        <f t="shared" si="6"/>
        <v>165</v>
      </c>
      <c r="S22">
        <f t="shared" si="7"/>
        <v>0</v>
      </c>
    </row>
    <row r="23" spans="2:19" x14ac:dyDescent="0.25">
      <c r="C23">
        <v>112.84114979453497</v>
      </c>
      <c r="D23">
        <v>0</v>
      </c>
      <c r="E23">
        <v>1.2703650547072418</v>
      </c>
      <c r="G23">
        <v>0</v>
      </c>
      <c r="I23">
        <v>-165</v>
      </c>
      <c r="K23">
        <v>0</v>
      </c>
      <c r="L23">
        <f t="shared" si="0"/>
        <v>114.11151484924221</v>
      </c>
      <c r="M23">
        <f t="shared" si="1"/>
        <v>-165</v>
      </c>
      <c r="N23">
        <f t="shared" si="2"/>
        <v>0</v>
      </c>
      <c r="O23">
        <f t="shared" si="3"/>
        <v>-112.84114979453497</v>
      </c>
      <c r="P23">
        <f t="shared" si="4"/>
        <v>0</v>
      </c>
      <c r="Q23">
        <f t="shared" si="5"/>
        <v>-1.2703650547072418</v>
      </c>
      <c r="R23">
        <f t="shared" si="6"/>
        <v>165</v>
      </c>
      <c r="S23">
        <f t="shared" si="7"/>
        <v>0</v>
      </c>
    </row>
    <row r="24" spans="2:19" x14ac:dyDescent="0.25">
      <c r="C24">
        <v>159.03803245378407</v>
      </c>
      <c r="D24">
        <v>0</v>
      </c>
      <c r="E24">
        <v>0</v>
      </c>
      <c r="G24">
        <v>-175.4800187320138</v>
      </c>
      <c r="I24">
        <v>-86.353811777104653</v>
      </c>
      <c r="K24">
        <v>0</v>
      </c>
      <c r="L24">
        <f t="shared" si="0"/>
        <v>159.03803245378407</v>
      </c>
      <c r="M24">
        <f t="shared" si="1"/>
        <v>-261.83383050911846</v>
      </c>
      <c r="N24">
        <f t="shared" si="2"/>
        <v>0</v>
      </c>
      <c r="O24">
        <f t="shared" si="3"/>
        <v>-159.03803245378407</v>
      </c>
      <c r="P24">
        <f t="shared" si="4"/>
        <v>175.4800187320138</v>
      </c>
      <c r="Q24">
        <f t="shared" si="5"/>
        <v>0</v>
      </c>
      <c r="R24">
        <f t="shared" si="6"/>
        <v>86.353811777104653</v>
      </c>
      <c r="S24">
        <f t="shared" si="7"/>
        <v>0</v>
      </c>
    </row>
    <row r="25" spans="2:19" x14ac:dyDescent="0.25">
      <c r="C25">
        <v>43.64814119180636</v>
      </c>
      <c r="D25">
        <v>112.69659242981898</v>
      </c>
      <c r="E25">
        <v>0</v>
      </c>
      <c r="G25">
        <v>-116.11324472707497</v>
      </c>
      <c r="I25">
        <v>0</v>
      </c>
      <c r="K25">
        <v>0</v>
      </c>
      <c r="L25">
        <f t="shared" si="0"/>
        <v>156.34473362162532</v>
      </c>
      <c r="M25">
        <f t="shared" si="1"/>
        <v>-116.11324472707497</v>
      </c>
      <c r="N25">
        <f t="shared" si="2"/>
        <v>0</v>
      </c>
      <c r="O25">
        <f t="shared" si="3"/>
        <v>-43.64814119180636</v>
      </c>
      <c r="P25">
        <f t="shared" si="4"/>
        <v>116.11324472707497</v>
      </c>
      <c r="Q25">
        <f t="shared" si="5"/>
        <v>0</v>
      </c>
      <c r="R25">
        <f t="shared" si="6"/>
        <v>0</v>
      </c>
      <c r="S25">
        <f t="shared" si="7"/>
        <v>-112.69659242981898</v>
      </c>
    </row>
    <row r="26" spans="2:19" x14ac:dyDescent="0.25">
      <c r="C26">
        <v>0</v>
      </c>
      <c r="D26">
        <v>165</v>
      </c>
      <c r="E26">
        <v>0</v>
      </c>
      <c r="G26">
        <v>-54.52293909952607</v>
      </c>
      <c r="I26">
        <v>0</v>
      </c>
      <c r="K26">
        <v>-21.310565621923388</v>
      </c>
      <c r="L26">
        <f t="shared" si="0"/>
        <v>165</v>
      </c>
      <c r="M26">
        <f t="shared" si="1"/>
        <v>-75.833504721449458</v>
      </c>
      <c r="N26">
        <f t="shared" si="2"/>
        <v>21.310565621923388</v>
      </c>
      <c r="O26">
        <f t="shared" si="3"/>
        <v>0</v>
      </c>
      <c r="P26">
        <f t="shared" si="4"/>
        <v>54.52293909952607</v>
      </c>
      <c r="Q26">
        <f t="shared" si="5"/>
        <v>0</v>
      </c>
      <c r="R26">
        <f t="shared" si="6"/>
        <v>0</v>
      </c>
      <c r="S26">
        <f t="shared" si="7"/>
        <v>-165</v>
      </c>
    </row>
    <row r="27" spans="2:19" x14ac:dyDescent="0.25">
      <c r="C27">
        <v>0</v>
      </c>
      <c r="D27">
        <v>165</v>
      </c>
      <c r="E27">
        <v>0</v>
      </c>
      <c r="G27">
        <v>-28.64790472115908</v>
      </c>
      <c r="I27">
        <v>0</v>
      </c>
      <c r="K27">
        <v>-14.499491330852948</v>
      </c>
      <c r="L27">
        <f t="shared" si="0"/>
        <v>165</v>
      </c>
      <c r="M27">
        <f t="shared" si="1"/>
        <v>-43.147396052012027</v>
      </c>
      <c r="N27">
        <f t="shared" si="2"/>
        <v>14.499491330852948</v>
      </c>
      <c r="O27">
        <f t="shared" si="3"/>
        <v>0</v>
      </c>
      <c r="P27">
        <f t="shared" si="4"/>
        <v>28.64790472115908</v>
      </c>
      <c r="Q27">
        <f t="shared" si="5"/>
        <v>0</v>
      </c>
      <c r="R27">
        <f t="shared" si="6"/>
        <v>0</v>
      </c>
      <c r="S27">
        <f t="shared" si="7"/>
        <v>-165</v>
      </c>
    </row>
    <row r="28" spans="2:19" x14ac:dyDescent="0.25">
      <c r="C28">
        <v>0</v>
      </c>
      <c r="D28">
        <v>165</v>
      </c>
      <c r="E28">
        <v>0</v>
      </c>
      <c r="G28">
        <v>-34.341259143791831</v>
      </c>
      <c r="I28">
        <v>0</v>
      </c>
      <c r="K28">
        <v>-32.957582377888741</v>
      </c>
      <c r="L28">
        <f t="shared" si="0"/>
        <v>165</v>
      </c>
      <c r="M28">
        <f t="shared" si="1"/>
        <v>-67.298841521680572</v>
      </c>
      <c r="N28">
        <f t="shared" si="2"/>
        <v>32.957582377888741</v>
      </c>
      <c r="O28">
        <f t="shared" si="3"/>
        <v>0</v>
      </c>
      <c r="P28">
        <f t="shared" si="4"/>
        <v>34.341259143791831</v>
      </c>
      <c r="Q28">
        <f t="shared" si="5"/>
        <v>0</v>
      </c>
      <c r="R28">
        <f t="shared" si="6"/>
        <v>0</v>
      </c>
      <c r="S28">
        <f t="shared" si="7"/>
        <v>-165</v>
      </c>
    </row>
    <row r="31" spans="2:19" x14ac:dyDescent="0.25">
      <c r="B31">
        <v>2040</v>
      </c>
    </row>
    <row r="33" spans="3:19" x14ac:dyDescent="0.25">
      <c r="C33" t="s">
        <v>48</v>
      </c>
      <c r="G33" t="s">
        <v>47</v>
      </c>
      <c r="I33" t="s">
        <v>28</v>
      </c>
      <c r="K33" t="s">
        <v>25</v>
      </c>
      <c r="L33" t="s">
        <v>56</v>
      </c>
      <c r="N33" t="s">
        <v>59</v>
      </c>
      <c r="P33" t="s">
        <v>60</v>
      </c>
      <c r="R33" t="s">
        <v>61</v>
      </c>
    </row>
    <row r="34" spans="3:19" x14ac:dyDescent="0.25">
      <c r="C34" t="s">
        <v>44</v>
      </c>
      <c r="D34" t="s">
        <v>45</v>
      </c>
      <c r="E34" t="s">
        <v>46</v>
      </c>
      <c r="G34" t="s">
        <v>46</v>
      </c>
      <c r="I34" t="s">
        <v>45</v>
      </c>
      <c r="K34" t="s">
        <v>44</v>
      </c>
      <c r="L34" t="s">
        <v>57</v>
      </c>
      <c r="M34" t="s">
        <v>58</v>
      </c>
      <c r="N34" t="s">
        <v>57</v>
      </c>
      <c r="O34" t="s">
        <v>58</v>
      </c>
      <c r="P34" t="s">
        <v>57</v>
      </c>
      <c r="Q34" t="s">
        <v>58</v>
      </c>
      <c r="R34" t="s">
        <v>57</v>
      </c>
      <c r="S34" t="s">
        <v>58</v>
      </c>
    </row>
    <row r="35" spans="3:19" x14ac:dyDescent="0.25">
      <c r="C35">
        <v>245.78535299348704</v>
      </c>
      <c r="D35">
        <v>0</v>
      </c>
      <c r="E35">
        <v>0</v>
      </c>
      <c r="G35">
        <v>-260</v>
      </c>
      <c r="I35">
        <v>-64.149514591938384</v>
      </c>
      <c r="K35">
        <v>0</v>
      </c>
      <c r="L35">
        <f>$C35+$D35+$E35</f>
        <v>245.78535299348704</v>
      </c>
      <c r="M35">
        <f>G35+I35+K35</f>
        <v>-324.14951459193838</v>
      </c>
      <c r="N35">
        <f>-K35</f>
        <v>0</v>
      </c>
      <c r="O35">
        <f>-C35</f>
        <v>-245.78535299348704</v>
      </c>
      <c r="P35">
        <f>-G35</f>
        <v>260</v>
      </c>
      <c r="Q35">
        <f>-E35</f>
        <v>0</v>
      </c>
      <c r="R35">
        <f>-I35</f>
        <v>64.149514591938384</v>
      </c>
      <c r="S35">
        <f>-D35</f>
        <v>0</v>
      </c>
    </row>
    <row r="36" spans="3:19" x14ac:dyDescent="0.25">
      <c r="C36">
        <v>278.18991972656795</v>
      </c>
      <c r="D36">
        <v>0</v>
      </c>
      <c r="E36">
        <v>0</v>
      </c>
      <c r="G36">
        <v>-260</v>
      </c>
      <c r="I36">
        <v>-64.974536317895158</v>
      </c>
      <c r="K36">
        <v>0</v>
      </c>
      <c r="L36">
        <f t="shared" ref="L36:L58" si="8">C36+D36+E36</f>
        <v>278.18991972656795</v>
      </c>
      <c r="M36">
        <f t="shared" ref="M36:M58" si="9">G36+I36+K36</f>
        <v>-324.97453631789517</v>
      </c>
      <c r="N36">
        <f t="shared" ref="N36:N58" si="10">-K36</f>
        <v>0</v>
      </c>
      <c r="O36">
        <f t="shared" ref="O36:O58" si="11">-C36</f>
        <v>-278.18991972656795</v>
      </c>
      <c r="P36">
        <f t="shared" ref="P36:P58" si="12">-G36</f>
        <v>260</v>
      </c>
      <c r="Q36">
        <f t="shared" ref="Q36:Q58" si="13">-E36</f>
        <v>0</v>
      </c>
      <c r="R36">
        <f t="shared" ref="R36:R58" si="14">-I36</f>
        <v>64.974536317895158</v>
      </c>
      <c r="S36">
        <f t="shared" ref="S36:S58" si="15">-D36</f>
        <v>0</v>
      </c>
    </row>
    <row r="37" spans="3:19" x14ac:dyDescent="0.25">
      <c r="C37">
        <v>276.83596871298835</v>
      </c>
      <c r="D37">
        <v>0</v>
      </c>
      <c r="E37">
        <v>0</v>
      </c>
      <c r="G37">
        <v>-260</v>
      </c>
      <c r="I37">
        <v>-65.149153699198408</v>
      </c>
      <c r="K37">
        <v>0</v>
      </c>
      <c r="L37">
        <f t="shared" si="8"/>
        <v>276.83596871298835</v>
      </c>
      <c r="M37">
        <f t="shared" si="9"/>
        <v>-325.14915369919839</v>
      </c>
      <c r="N37">
        <f t="shared" si="10"/>
        <v>0</v>
      </c>
      <c r="O37">
        <f t="shared" si="11"/>
        <v>-276.83596871298835</v>
      </c>
      <c r="P37">
        <f t="shared" si="12"/>
        <v>260</v>
      </c>
      <c r="Q37">
        <f t="shared" si="13"/>
        <v>0</v>
      </c>
      <c r="R37">
        <f t="shared" si="14"/>
        <v>65.149153699198408</v>
      </c>
      <c r="S37">
        <f t="shared" si="15"/>
        <v>0</v>
      </c>
    </row>
    <row r="38" spans="3:19" x14ac:dyDescent="0.25">
      <c r="C38">
        <v>181.95002024103246</v>
      </c>
      <c r="D38">
        <v>0</v>
      </c>
      <c r="E38">
        <v>0</v>
      </c>
      <c r="G38">
        <v>-114.50789455835047</v>
      </c>
      <c r="I38">
        <v>-134.27221391308541</v>
      </c>
      <c r="K38">
        <v>0</v>
      </c>
      <c r="L38">
        <f t="shared" si="8"/>
        <v>181.95002024103246</v>
      </c>
      <c r="M38">
        <f t="shared" si="9"/>
        <v>-248.78010847143588</v>
      </c>
      <c r="N38">
        <f t="shared" si="10"/>
        <v>0</v>
      </c>
      <c r="O38">
        <f t="shared" si="11"/>
        <v>-181.95002024103246</v>
      </c>
      <c r="P38">
        <f t="shared" si="12"/>
        <v>114.50789455835047</v>
      </c>
      <c r="Q38">
        <f t="shared" si="13"/>
        <v>0</v>
      </c>
      <c r="R38">
        <f t="shared" si="14"/>
        <v>134.27221391308541</v>
      </c>
      <c r="S38">
        <f t="shared" si="15"/>
        <v>0</v>
      </c>
    </row>
    <row r="39" spans="3:19" x14ac:dyDescent="0.25">
      <c r="C39">
        <v>172.1132747075109</v>
      </c>
      <c r="D39">
        <v>0</v>
      </c>
      <c r="E39">
        <v>0</v>
      </c>
      <c r="G39">
        <v>-82.36682599035916</v>
      </c>
      <c r="I39">
        <v>-81.375700024300841</v>
      </c>
      <c r="K39">
        <v>0</v>
      </c>
      <c r="L39">
        <f t="shared" si="8"/>
        <v>172.1132747075109</v>
      </c>
      <c r="M39">
        <f t="shared" si="9"/>
        <v>-163.74252601466</v>
      </c>
      <c r="N39">
        <f t="shared" si="10"/>
        <v>0</v>
      </c>
      <c r="O39">
        <f t="shared" si="11"/>
        <v>-172.1132747075109</v>
      </c>
      <c r="P39">
        <f t="shared" si="12"/>
        <v>82.36682599035916</v>
      </c>
      <c r="Q39">
        <f t="shared" si="13"/>
        <v>0</v>
      </c>
      <c r="R39">
        <f t="shared" si="14"/>
        <v>81.375700024300841</v>
      </c>
      <c r="S39">
        <f t="shared" si="15"/>
        <v>0</v>
      </c>
    </row>
    <row r="40" spans="3:19" x14ac:dyDescent="0.25">
      <c r="C40">
        <v>68.504146840041727</v>
      </c>
      <c r="D40">
        <v>0</v>
      </c>
      <c r="E40">
        <v>260</v>
      </c>
      <c r="G40">
        <v>0</v>
      </c>
      <c r="I40">
        <v>-165</v>
      </c>
      <c r="K40">
        <v>0</v>
      </c>
      <c r="L40">
        <f t="shared" si="8"/>
        <v>328.5041468400417</v>
      </c>
      <c r="M40">
        <f t="shared" si="9"/>
        <v>-165</v>
      </c>
      <c r="N40">
        <f t="shared" si="10"/>
        <v>0</v>
      </c>
      <c r="O40">
        <f t="shared" si="11"/>
        <v>-68.504146840041727</v>
      </c>
      <c r="P40">
        <f t="shared" si="12"/>
        <v>0</v>
      </c>
      <c r="Q40">
        <f t="shared" si="13"/>
        <v>-260</v>
      </c>
      <c r="R40">
        <f t="shared" si="14"/>
        <v>165</v>
      </c>
      <c r="S40">
        <f t="shared" si="15"/>
        <v>0</v>
      </c>
    </row>
    <row r="41" spans="3:19" x14ac:dyDescent="0.25">
      <c r="C41">
        <v>59.395354260555656</v>
      </c>
      <c r="D41">
        <v>0</v>
      </c>
      <c r="E41">
        <v>260</v>
      </c>
      <c r="G41">
        <v>0</v>
      </c>
      <c r="I41">
        <v>-165</v>
      </c>
      <c r="K41">
        <v>0</v>
      </c>
      <c r="L41">
        <f t="shared" si="8"/>
        <v>319.39535426055568</v>
      </c>
      <c r="M41">
        <f t="shared" si="9"/>
        <v>-165</v>
      </c>
      <c r="N41">
        <f t="shared" si="10"/>
        <v>0</v>
      </c>
      <c r="O41">
        <f t="shared" si="11"/>
        <v>-59.395354260555656</v>
      </c>
      <c r="P41">
        <f t="shared" si="12"/>
        <v>0</v>
      </c>
      <c r="Q41">
        <f t="shared" si="13"/>
        <v>-260</v>
      </c>
      <c r="R41">
        <f t="shared" si="14"/>
        <v>165</v>
      </c>
      <c r="S41">
        <f t="shared" si="15"/>
        <v>0</v>
      </c>
    </row>
    <row r="42" spans="3:19" x14ac:dyDescent="0.25">
      <c r="C42">
        <v>146.70477363085456</v>
      </c>
      <c r="D42">
        <v>0</v>
      </c>
      <c r="E42">
        <v>40.101461004624014</v>
      </c>
      <c r="G42">
        <v>0</v>
      </c>
      <c r="I42">
        <v>-127.52273568002829</v>
      </c>
      <c r="K42">
        <v>0</v>
      </c>
      <c r="L42">
        <f t="shared" si="8"/>
        <v>186.80623463547857</v>
      </c>
      <c r="M42">
        <f t="shared" si="9"/>
        <v>-127.52273568002829</v>
      </c>
      <c r="N42">
        <f t="shared" si="10"/>
        <v>0</v>
      </c>
      <c r="O42">
        <f t="shared" si="11"/>
        <v>-146.70477363085456</v>
      </c>
      <c r="P42">
        <f t="shared" si="12"/>
        <v>0</v>
      </c>
      <c r="Q42">
        <f t="shared" si="13"/>
        <v>-40.101461004624014</v>
      </c>
      <c r="R42">
        <f t="shared" si="14"/>
        <v>127.52273568002829</v>
      </c>
      <c r="S42">
        <f t="shared" si="15"/>
        <v>0</v>
      </c>
    </row>
    <row r="43" spans="3:19" x14ac:dyDescent="0.25">
      <c r="C43">
        <v>84.18217384374266</v>
      </c>
      <c r="D43">
        <v>157.50825919734197</v>
      </c>
      <c r="E43">
        <v>0</v>
      </c>
      <c r="G43">
        <v>-222.40471621424271</v>
      </c>
      <c r="I43">
        <v>0</v>
      </c>
      <c r="K43">
        <v>0</v>
      </c>
      <c r="L43">
        <f t="shared" si="8"/>
        <v>241.69043304108465</v>
      </c>
      <c r="M43">
        <f t="shared" si="9"/>
        <v>-222.40471621424271</v>
      </c>
      <c r="N43">
        <f t="shared" si="10"/>
        <v>0</v>
      </c>
      <c r="O43">
        <f t="shared" si="11"/>
        <v>-84.18217384374266</v>
      </c>
      <c r="P43">
        <f t="shared" si="12"/>
        <v>222.40471621424271</v>
      </c>
      <c r="Q43">
        <f t="shared" si="13"/>
        <v>0</v>
      </c>
      <c r="R43">
        <f t="shared" si="14"/>
        <v>0</v>
      </c>
      <c r="S43">
        <f t="shared" si="15"/>
        <v>-157.50825919734197</v>
      </c>
    </row>
    <row r="44" spans="3:19" x14ac:dyDescent="0.25">
      <c r="C44">
        <v>92.039667510072078</v>
      </c>
      <c r="D44">
        <v>165</v>
      </c>
      <c r="E44">
        <v>0</v>
      </c>
      <c r="G44">
        <v>-161.99592046491358</v>
      </c>
      <c r="I44">
        <v>0</v>
      </c>
      <c r="K44">
        <v>0</v>
      </c>
      <c r="L44">
        <f t="shared" si="8"/>
        <v>257.03966751007209</v>
      </c>
      <c r="M44">
        <f t="shared" si="9"/>
        <v>-161.99592046491358</v>
      </c>
      <c r="N44">
        <f t="shared" si="10"/>
        <v>0</v>
      </c>
      <c r="O44">
        <f t="shared" si="11"/>
        <v>-92.039667510072078</v>
      </c>
      <c r="P44">
        <f t="shared" si="12"/>
        <v>161.99592046491358</v>
      </c>
      <c r="Q44">
        <f t="shared" si="13"/>
        <v>0</v>
      </c>
      <c r="R44">
        <f t="shared" si="14"/>
        <v>0</v>
      </c>
      <c r="S44">
        <f t="shared" si="15"/>
        <v>-165</v>
      </c>
    </row>
    <row r="45" spans="3:19" x14ac:dyDescent="0.25">
      <c r="C45">
        <v>91.473053192914961</v>
      </c>
      <c r="D45">
        <v>81.92839127877339</v>
      </c>
      <c r="E45">
        <v>0</v>
      </c>
      <c r="G45">
        <v>-94.53361877997871</v>
      </c>
      <c r="I45">
        <v>0</v>
      </c>
      <c r="K45">
        <v>0</v>
      </c>
      <c r="L45">
        <f t="shared" si="8"/>
        <v>173.40144447168836</v>
      </c>
      <c r="M45">
        <f t="shared" si="9"/>
        <v>-94.53361877997871</v>
      </c>
      <c r="N45">
        <f t="shared" si="10"/>
        <v>0</v>
      </c>
      <c r="O45">
        <f t="shared" si="11"/>
        <v>-91.473053192914961</v>
      </c>
      <c r="P45">
        <f t="shared" si="12"/>
        <v>94.53361877997871</v>
      </c>
      <c r="Q45">
        <f t="shared" si="13"/>
        <v>0</v>
      </c>
      <c r="R45">
        <f t="shared" si="14"/>
        <v>0</v>
      </c>
      <c r="S45">
        <f t="shared" si="15"/>
        <v>-81.92839127877339</v>
      </c>
    </row>
    <row r="46" spans="3:19" x14ac:dyDescent="0.25">
      <c r="C46">
        <v>179.85291377377112</v>
      </c>
      <c r="D46">
        <v>0</v>
      </c>
      <c r="E46">
        <v>0</v>
      </c>
      <c r="G46">
        <v>-180.25351152878642</v>
      </c>
      <c r="I46">
        <v>-60.615025633108701</v>
      </c>
      <c r="K46">
        <v>0</v>
      </c>
      <c r="L46">
        <f t="shared" si="8"/>
        <v>179.85291377377112</v>
      </c>
      <c r="M46">
        <f t="shared" si="9"/>
        <v>-240.86853716189512</v>
      </c>
      <c r="N46">
        <f t="shared" si="10"/>
        <v>0</v>
      </c>
      <c r="O46">
        <f t="shared" si="11"/>
        <v>-179.85291377377112</v>
      </c>
      <c r="P46">
        <f t="shared" si="12"/>
        <v>180.25351152878642</v>
      </c>
      <c r="Q46">
        <f t="shared" si="13"/>
        <v>0</v>
      </c>
      <c r="R46">
        <f t="shared" si="14"/>
        <v>60.615025633108701</v>
      </c>
      <c r="S46">
        <f t="shared" si="15"/>
        <v>0</v>
      </c>
    </row>
    <row r="47" spans="3:19" x14ac:dyDescent="0.25">
      <c r="C47">
        <v>102.47325431900572</v>
      </c>
      <c r="D47">
        <v>0</v>
      </c>
      <c r="E47">
        <v>0</v>
      </c>
      <c r="G47">
        <v>-10.904128770826334</v>
      </c>
      <c r="I47">
        <v>-56.59681278445521</v>
      </c>
      <c r="K47">
        <v>0</v>
      </c>
      <c r="L47">
        <f t="shared" si="8"/>
        <v>102.47325431900572</v>
      </c>
      <c r="M47">
        <f t="shared" si="9"/>
        <v>-67.500941555281543</v>
      </c>
      <c r="N47">
        <f t="shared" si="10"/>
        <v>0</v>
      </c>
      <c r="O47">
        <f t="shared" si="11"/>
        <v>-102.47325431900572</v>
      </c>
      <c r="P47">
        <f t="shared" si="12"/>
        <v>10.904128770826334</v>
      </c>
      <c r="Q47">
        <f t="shared" si="13"/>
        <v>0</v>
      </c>
      <c r="R47">
        <f t="shared" si="14"/>
        <v>56.59681278445521</v>
      </c>
      <c r="S47">
        <f t="shared" si="15"/>
        <v>0</v>
      </c>
    </row>
    <row r="48" spans="3:19" x14ac:dyDescent="0.25">
      <c r="C48">
        <v>110.84025225820051</v>
      </c>
      <c r="D48">
        <v>0</v>
      </c>
      <c r="E48">
        <v>0</v>
      </c>
      <c r="G48">
        <v>-22.74499768038504</v>
      </c>
      <c r="I48">
        <v>-70.490249887860614</v>
      </c>
      <c r="K48">
        <v>0</v>
      </c>
      <c r="L48">
        <f t="shared" si="8"/>
        <v>110.84025225820051</v>
      </c>
      <c r="M48">
        <f t="shared" si="9"/>
        <v>-93.235247568245654</v>
      </c>
      <c r="N48">
        <f t="shared" si="10"/>
        <v>0</v>
      </c>
      <c r="O48">
        <f t="shared" si="11"/>
        <v>-110.84025225820051</v>
      </c>
      <c r="P48">
        <f t="shared" si="12"/>
        <v>22.74499768038504</v>
      </c>
      <c r="Q48">
        <f t="shared" si="13"/>
        <v>0</v>
      </c>
      <c r="R48">
        <f t="shared" si="14"/>
        <v>70.490249887860614</v>
      </c>
      <c r="S48">
        <f t="shared" si="15"/>
        <v>0</v>
      </c>
    </row>
    <row r="49" spans="2:19" x14ac:dyDescent="0.25">
      <c r="C49">
        <v>111.18180734178368</v>
      </c>
      <c r="D49">
        <v>0</v>
      </c>
      <c r="E49">
        <v>0</v>
      </c>
      <c r="G49">
        <v>-20.559522134857048</v>
      </c>
      <c r="I49">
        <v>-74.718701699468184</v>
      </c>
      <c r="K49">
        <v>0</v>
      </c>
      <c r="L49">
        <f t="shared" si="8"/>
        <v>111.18180734178368</v>
      </c>
      <c r="M49">
        <f t="shared" si="9"/>
        <v>-95.278223834325232</v>
      </c>
      <c r="N49">
        <f t="shared" si="10"/>
        <v>0</v>
      </c>
      <c r="O49">
        <f t="shared" si="11"/>
        <v>-111.18180734178368</v>
      </c>
      <c r="P49">
        <f t="shared" si="12"/>
        <v>20.559522134857048</v>
      </c>
      <c r="Q49">
        <f t="shared" si="13"/>
        <v>0</v>
      </c>
      <c r="R49">
        <f t="shared" si="14"/>
        <v>74.718701699468184</v>
      </c>
      <c r="S49">
        <f t="shared" si="15"/>
        <v>0</v>
      </c>
    </row>
    <row r="50" spans="2:19" x14ac:dyDescent="0.25">
      <c r="C50">
        <v>44.958702626071741</v>
      </c>
      <c r="D50">
        <v>86.001105796181434</v>
      </c>
      <c r="E50">
        <v>0</v>
      </c>
      <c r="G50">
        <v>-2.9812281178900548</v>
      </c>
      <c r="I50">
        <v>0</v>
      </c>
      <c r="K50">
        <v>0</v>
      </c>
      <c r="L50">
        <f t="shared" si="8"/>
        <v>130.95980842225316</v>
      </c>
      <c r="M50">
        <f t="shared" si="9"/>
        <v>-2.9812281178900548</v>
      </c>
      <c r="N50">
        <f t="shared" si="10"/>
        <v>0</v>
      </c>
      <c r="O50">
        <f t="shared" si="11"/>
        <v>-44.958702626071741</v>
      </c>
      <c r="P50">
        <f t="shared" si="12"/>
        <v>2.9812281178900548</v>
      </c>
      <c r="Q50">
        <f t="shared" si="13"/>
        <v>0</v>
      </c>
      <c r="R50">
        <f t="shared" si="14"/>
        <v>0</v>
      </c>
      <c r="S50">
        <f t="shared" si="15"/>
        <v>-86.001105796181434</v>
      </c>
    </row>
    <row r="51" spans="2:19" x14ac:dyDescent="0.25">
      <c r="C51">
        <v>174.86683691046477</v>
      </c>
      <c r="D51">
        <v>0</v>
      </c>
      <c r="E51">
        <v>0</v>
      </c>
      <c r="G51">
        <v>-70.07891399197969</v>
      </c>
      <c r="I51">
        <v>-80.609247587555004</v>
      </c>
      <c r="K51">
        <v>0</v>
      </c>
      <c r="L51">
        <f t="shared" si="8"/>
        <v>174.86683691046477</v>
      </c>
      <c r="M51">
        <f t="shared" si="9"/>
        <v>-150.68816157953469</v>
      </c>
      <c r="N51">
        <f t="shared" si="10"/>
        <v>0</v>
      </c>
      <c r="O51">
        <f t="shared" si="11"/>
        <v>-174.86683691046477</v>
      </c>
      <c r="P51">
        <f t="shared" si="12"/>
        <v>70.07891399197969</v>
      </c>
      <c r="Q51">
        <f t="shared" si="13"/>
        <v>0</v>
      </c>
      <c r="R51">
        <f t="shared" si="14"/>
        <v>80.609247587555004</v>
      </c>
      <c r="S51">
        <f t="shared" si="15"/>
        <v>0</v>
      </c>
    </row>
    <row r="52" spans="2:19" x14ac:dyDescent="0.25">
      <c r="C52">
        <v>82.30290151323355</v>
      </c>
      <c r="D52">
        <v>0</v>
      </c>
      <c r="E52">
        <v>248.96220090997616</v>
      </c>
      <c r="G52">
        <v>0</v>
      </c>
      <c r="I52">
        <v>-165</v>
      </c>
      <c r="K52">
        <v>0</v>
      </c>
      <c r="L52">
        <f t="shared" si="8"/>
        <v>331.26510242320973</v>
      </c>
      <c r="M52">
        <f t="shared" si="9"/>
        <v>-165</v>
      </c>
      <c r="N52">
        <f t="shared" si="10"/>
        <v>0</v>
      </c>
      <c r="O52">
        <f t="shared" si="11"/>
        <v>-82.30290151323355</v>
      </c>
      <c r="P52">
        <f t="shared" si="12"/>
        <v>0</v>
      </c>
      <c r="Q52">
        <f t="shared" si="13"/>
        <v>-248.96220090997616</v>
      </c>
      <c r="R52">
        <f t="shared" si="14"/>
        <v>165</v>
      </c>
      <c r="S52">
        <f t="shared" si="15"/>
        <v>0</v>
      </c>
    </row>
    <row r="53" spans="2:19" x14ac:dyDescent="0.25">
      <c r="C53">
        <v>88.039155721438036</v>
      </c>
      <c r="D53">
        <v>0</v>
      </c>
      <c r="E53">
        <v>221.6476338201162</v>
      </c>
      <c r="G53">
        <v>0</v>
      </c>
      <c r="I53">
        <v>-165</v>
      </c>
      <c r="K53">
        <v>0</v>
      </c>
      <c r="L53">
        <f t="shared" si="8"/>
        <v>309.68678954155422</v>
      </c>
      <c r="M53">
        <f t="shared" si="9"/>
        <v>-165</v>
      </c>
      <c r="N53">
        <f t="shared" si="10"/>
        <v>0</v>
      </c>
      <c r="O53">
        <f t="shared" si="11"/>
        <v>-88.039155721438036</v>
      </c>
      <c r="P53">
        <f t="shared" si="12"/>
        <v>0</v>
      </c>
      <c r="Q53">
        <f t="shared" si="13"/>
        <v>-221.6476338201162</v>
      </c>
      <c r="R53">
        <f t="shared" si="14"/>
        <v>165</v>
      </c>
      <c r="S53">
        <f t="shared" si="15"/>
        <v>0</v>
      </c>
    </row>
    <row r="54" spans="2:19" x14ac:dyDescent="0.25">
      <c r="C54">
        <v>164.41967991025911</v>
      </c>
      <c r="D54">
        <v>0</v>
      </c>
      <c r="E54">
        <v>0</v>
      </c>
      <c r="G54">
        <v>-23.87944737125957</v>
      </c>
      <c r="I54">
        <v>-104.75440952059975</v>
      </c>
      <c r="K54">
        <v>0</v>
      </c>
      <c r="L54">
        <f t="shared" si="8"/>
        <v>164.41967991025911</v>
      </c>
      <c r="M54">
        <f t="shared" si="9"/>
        <v>-128.63385689185932</v>
      </c>
      <c r="N54">
        <f t="shared" si="10"/>
        <v>0</v>
      </c>
      <c r="O54">
        <f t="shared" si="11"/>
        <v>-164.41967991025911</v>
      </c>
      <c r="P54">
        <f t="shared" si="12"/>
        <v>23.87944737125957</v>
      </c>
      <c r="Q54">
        <f t="shared" si="13"/>
        <v>0</v>
      </c>
      <c r="R54">
        <f t="shared" si="14"/>
        <v>104.75440952059975</v>
      </c>
      <c r="S54">
        <f t="shared" si="15"/>
        <v>0</v>
      </c>
    </row>
    <row r="55" spans="2:19" x14ac:dyDescent="0.25">
      <c r="C55">
        <v>115.76043424401007</v>
      </c>
      <c r="D55">
        <v>127.64164063518956</v>
      </c>
      <c r="E55">
        <v>0</v>
      </c>
      <c r="G55">
        <v>-114.45130710112164</v>
      </c>
      <c r="I55">
        <v>0</v>
      </c>
      <c r="K55">
        <v>0</v>
      </c>
      <c r="L55">
        <f t="shared" si="8"/>
        <v>243.40207487919963</v>
      </c>
      <c r="M55">
        <f t="shared" si="9"/>
        <v>-114.45130710112164</v>
      </c>
      <c r="N55">
        <f t="shared" si="10"/>
        <v>0</v>
      </c>
      <c r="O55">
        <f t="shared" si="11"/>
        <v>-115.76043424401007</v>
      </c>
      <c r="P55">
        <f t="shared" si="12"/>
        <v>114.45130710112164</v>
      </c>
      <c r="Q55">
        <f t="shared" si="13"/>
        <v>0</v>
      </c>
      <c r="R55">
        <f t="shared" si="14"/>
        <v>0</v>
      </c>
      <c r="S55">
        <f t="shared" si="15"/>
        <v>-127.64164063518956</v>
      </c>
    </row>
    <row r="56" spans="2:19" x14ac:dyDescent="0.25">
      <c r="C56">
        <v>82.500256906666138</v>
      </c>
      <c r="D56">
        <v>61.595177123336043</v>
      </c>
      <c r="E56">
        <v>1.4498175163913629</v>
      </c>
      <c r="G56">
        <v>0</v>
      </c>
      <c r="I56">
        <v>0</v>
      </c>
      <c r="K56">
        <v>0</v>
      </c>
      <c r="L56">
        <f t="shared" si="8"/>
        <v>145.54525154639356</v>
      </c>
      <c r="M56">
        <f t="shared" si="9"/>
        <v>0</v>
      </c>
      <c r="N56">
        <f t="shared" si="10"/>
        <v>0</v>
      </c>
      <c r="O56">
        <f t="shared" si="11"/>
        <v>-82.500256906666138</v>
      </c>
      <c r="P56">
        <f t="shared" si="12"/>
        <v>0</v>
      </c>
      <c r="Q56">
        <f t="shared" si="13"/>
        <v>-1.4498175163913629</v>
      </c>
      <c r="R56">
        <f t="shared" si="14"/>
        <v>0</v>
      </c>
      <c r="S56">
        <f t="shared" si="15"/>
        <v>-61.595177123336043</v>
      </c>
    </row>
    <row r="57" spans="2:19" x14ac:dyDescent="0.25">
      <c r="C57">
        <v>90.631821405195865</v>
      </c>
      <c r="D57">
        <v>27.464626958136535</v>
      </c>
      <c r="E57">
        <v>37.508664791816955</v>
      </c>
      <c r="G57">
        <v>0</v>
      </c>
      <c r="I57">
        <v>0</v>
      </c>
      <c r="K57">
        <v>0</v>
      </c>
      <c r="L57">
        <f t="shared" si="8"/>
        <v>155.60511315514935</v>
      </c>
      <c r="M57">
        <f t="shared" si="9"/>
        <v>0</v>
      </c>
      <c r="N57">
        <f t="shared" si="10"/>
        <v>0</v>
      </c>
      <c r="O57">
        <f t="shared" si="11"/>
        <v>-90.631821405195865</v>
      </c>
      <c r="P57">
        <f t="shared" si="12"/>
        <v>0</v>
      </c>
      <c r="Q57">
        <f t="shared" si="13"/>
        <v>-37.508664791816955</v>
      </c>
      <c r="R57">
        <f t="shared" si="14"/>
        <v>0</v>
      </c>
      <c r="S57">
        <f t="shared" si="15"/>
        <v>-27.464626958136535</v>
      </c>
    </row>
    <row r="58" spans="2:19" x14ac:dyDescent="0.25">
      <c r="C58">
        <v>78.683029074786873</v>
      </c>
      <c r="D58">
        <v>0</v>
      </c>
      <c r="E58">
        <v>37.988745047676737</v>
      </c>
      <c r="G58">
        <v>0</v>
      </c>
      <c r="I58">
        <v>-33.111161700893376</v>
      </c>
      <c r="K58">
        <v>0</v>
      </c>
      <c r="L58">
        <f t="shared" si="8"/>
        <v>116.6717741224636</v>
      </c>
      <c r="M58">
        <f t="shared" si="9"/>
        <v>-33.111161700893376</v>
      </c>
      <c r="N58">
        <f t="shared" si="10"/>
        <v>0</v>
      </c>
      <c r="O58">
        <f t="shared" si="11"/>
        <v>-78.683029074786873</v>
      </c>
      <c r="P58">
        <f t="shared" si="12"/>
        <v>0</v>
      </c>
      <c r="Q58">
        <f t="shared" si="13"/>
        <v>-37.988745047676737</v>
      </c>
      <c r="R58">
        <f t="shared" si="14"/>
        <v>33.111161700893376</v>
      </c>
      <c r="S58">
        <f t="shared" si="15"/>
        <v>0</v>
      </c>
    </row>
    <row r="61" spans="2:19" x14ac:dyDescent="0.25">
      <c r="B61">
        <v>2050</v>
      </c>
    </row>
    <row r="63" spans="2:19" x14ac:dyDescent="0.25">
      <c r="C63" t="s">
        <v>48</v>
      </c>
      <c r="G63" t="s">
        <v>47</v>
      </c>
      <c r="I63" t="s">
        <v>28</v>
      </c>
      <c r="K63" t="s">
        <v>25</v>
      </c>
      <c r="L63" t="s">
        <v>56</v>
      </c>
      <c r="N63" t="s">
        <v>59</v>
      </c>
      <c r="P63" t="s">
        <v>60</v>
      </c>
      <c r="R63" t="s">
        <v>61</v>
      </c>
    </row>
    <row r="64" spans="2:19" x14ac:dyDescent="0.25">
      <c r="C64" t="s">
        <v>44</v>
      </c>
      <c r="D64" t="s">
        <v>45</v>
      </c>
      <c r="E64" t="s">
        <v>46</v>
      </c>
      <c r="G64" t="s">
        <v>46</v>
      </c>
      <c r="I64" t="s">
        <v>45</v>
      </c>
      <c r="K64" t="s">
        <v>44</v>
      </c>
      <c r="L64" t="s">
        <v>57</v>
      </c>
      <c r="M64" t="s">
        <v>58</v>
      </c>
      <c r="N64" t="s">
        <v>57</v>
      </c>
      <c r="O64" t="s">
        <v>58</v>
      </c>
      <c r="P64" t="s">
        <v>57</v>
      </c>
      <c r="Q64" t="s">
        <v>58</v>
      </c>
      <c r="R64" t="s">
        <v>57</v>
      </c>
      <c r="S64" t="s">
        <v>58</v>
      </c>
    </row>
    <row r="65" spans="3:19" x14ac:dyDescent="0.25">
      <c r="C65">
        <v>390</v>
      </c>
      <c r="D65">
        <v>3.7479469988986116</v>
      </c>
      <c r="E65">
        <v>0</v>
      </c>
      <c r="G65">
        <v>-260</v>
      </c>
      <c r="I65">
        <v>0</v>
      </c>
      <c r="K65">
        <v>0</v>
      </c>
      <c r="L65">
        <f>$C65+$D65+$E65</f>
        <v>393.74794699889861</v>
      </c>
      <c r="M65">
        <f>G65+I65+K65</f>
        <v>-260</v>
      </c>
      <c r="N65">
        <f>-K65</f>
        <v>0</v>
      </c>
      <c r="O65">
        <f>-C65</f>
        <v>-390</v>
      </c>
      <c r="P65">
        <f>-G65</f>
        <v>260</v>
      </c>
      <c r="Q65">
        <f>-E65</f>
        <v>0</v>
      </c>
      <c r="R65">
        <f>-I65</f>
        <v>0</v>
      </c>
      <c r="S65">
        <f>-D65</f>
        <v>-3.7479469988986116</v>
      </c>
    </row>
    <row r="66" spans="3:19" x14ac:dyDescent="0.25">
      <c r="C66">
        <v>390</v>
      </c>
      <c r="D66">
        <v>2.704025761653611</v>
      </c>
      <c r="E66">
        <v>0</v>
      </c>
      <c r="G66">
        <v>-260</v>
      </c>
      <c r="I66">
        <v>0</v>
      </c>
      <c r="K66">
        <v>0</v>
      </c>
      <c r="L66">
        <f t="shared" ref="L66:L88" si="16">C66+D66+E66</f>
        <v>392.70402576165361</v>
      </c>
      <c r="M66">
        <f t="shared" ref="M66:M88" si="17">G66+I66+K66</f>
        <v>-260</v>
      </c>
      <c r="N66">
        <f t="shared" ref="N66:N88" si="18">-K66</f>
        <v>0</v>
      </c>
      <c r="O66">
        <f t="shared" ref="O66:O88" si="19">-C66</f>
        <v>-390</v>
      </c>
      <c r="P66">
        <f t="shared" ref="P66:P88" si="20">-G66</f>
        <v>260</v>
      </c>
      <c r="Q66">
        <f t="shared" ref="Q66:Q88" si="21">-E66</f>
        <v>0</v>
      </c>
      <c r="R66">
        <f t="shared" ref="R66:R88" si="22">-I66</f>
        <v>0</v>
      </c>
      <c r="S66">
        <f t="shared" ref="S66:S88" si="23">-D66</f>
        <v>-2.704025761653611</v>
      </c>
    </row>
    <row r="67" spans="3:19" x14ac:dyDescent="0.25">
      <c r="C67">
        <v>390</v>
      </c>
      <c r="D67">
        <v>2.5208356866534132</v>
      </c>
      <c r="E67">
        <v>0</v>
      </c>
      <c r="G67">
        <v>-260</v>
      </c>
      <c r="I67">
        <v>0</v>
      </c>
      <c r="K67">
        <v>0</v>
      </c>
      <c r="L67">
        <f t="shared" si="16"/>
        <v>392.52083568665341</v>
      </c>
      <c r="M67">
        <f t="shared" si="17"/>
        <v>-260</v>
      </c>
      <c r="N67">
        <f t="shared" si="18"/>
        <v>0</v>
      </c>
      <c r="O67">
        <f t="shared" si="19"/>
        <v>-390</v>
      </c>
      <c r="P67">
        <f t="shared" si="20"/>
        <v>260</v>
      </c>
      <c r="Q67">
        <f t="shared" si="21"/>
        <v>0</v>
      </c>
      <c r="R67">
        <f t="shared" si="22"/>
        <v>0</v>
      </c>
      <c r="S67">
        <f t="shared" si="23"/>
        <v>-2.5208356866534132</v>
      </c>
    </row>
    <row r="68" spans="3:19" x14ac:dyDescent="0.25">
      <c r="C68">
        <v>340.90311115550014</v>
      </c>
      <c r="D68">
        <v>0</v>
      </c>
      <c r="E68">
        <v>0</v>
      </c>
      <c r="G68">
        <v>-260</v>
      </c>
      <c r="I68">
        <v>-39.477456721765627</v>
      </c>
      <c r="K68">
        <v>0</v>
      </c>
      <c r="L68">
        <f t="shared" si="16"/>
        <v>340.90311115550014</v>
      </c>
      <c r="M68">
        <f t="shared" si="17"/>
        <v>-299.47745672176563</v>
      </c>
      <c r="N68">
        <f t="shared" si="18"/>
        <v>0</v>
      </c>
      <c r="O68">
        <f t="shared" si="19"/>
        <v>-340.90311115550014</v>
      </c>
      <c r="P68">
        <f t="shared" si="20"/>
        <v>260</v>
      </c>
      <c r="Q68">
        <f t="shared" si="21"/>
        <v>0</v>
      </c>
      <c r="R68">
        <f t="shared" si="22"/>
        <v>39.477456721765627</v>
      </c>
      <c r="S68">
        <f t="shared" si="23"/>
        <v>0</v>
      </c>
    </row>
    <row r="69" spans="3:19" x14ac:dyDescent="0.25">
      <c r="C69">
        <v>88.553578708935788</v>
      </c>
      <c r="D69">
        <v>0</v>
      </c>
      <c r="E69">
        <v>32.557761618245884</v>
      </c>
      <c r="G69">
        <v>0</v>
      </c>
      <c r="I69">
        <v>-8.8348043077516536</v>
      </c>
      <c r="K69">
        <v>0</v>
      </c>
      <c r="L69">
        <f t="shared" si="16"/>
        <v>121.11134032718167</v>
      </c>
      <c r="M69">
        <f t="shared" si="17"/>
        <v>-8.8348043077516536</v>
      </c>
      <c r="N69">
        <f t="shared" si="18"/>
        <v>0</v>
      </c>
      <c r="O69">
        <f t="shared" si="19"/>
        <v>-88.553578708935788</v>
      </c>
      <c r="P69">
        <f t="shared" si="20"/>
        <v>0</v>
      </c>
      <c r="Q69">
        <f t="shared" si="21"/>
        <v>-32.557761618245884</v>
      </c>
      <c r="R69">
        <f t="shared" si="22"/>
        <v>8.8348043077516536</v>
      </c>
      <c r="S69">
        <f t="shared" si="23"/>
        <v>0</v>
      </c>
    </row>
    <row r="70" spans="3:19" x14ac:dyDescent="0.25">
      <c r="C70">
        <v>193.79278212304393</v>
      </c>
      <c r="D70">
        <v>0</v>
      </c>
      <c r="E70">
        <v>43.371709476161847</v>
      </c>
      <c r="G70">
        <v>0</v>
      </c>
      <c r="I70">
        <v>-164.82540279898848</v>
      </c>
      <c r="K70">
        <v>0</v>
      </c>
      <c r="L70">
        <f t="shared" si="16"/>
        <v>237.16449159920577</v>
      </c>
      <c r="M70">
        <f t="shared" si="17"/>
        <v>-164.82540279898848</v>
      </c>
      <c r="N70">
        <f t="shared" si="18"/>
        <v>0</v>
      </c>
      <c r="O70">
        <f t="shared" si="19"/>
        <v>-193.79278212304393</v>
      </c>
      <c r="P70">
        <f t="shared" si="20"/>
        <v>0</v>
      </c>
      <c r="Q70">
        <f t="shared" si="21"/>
        <v>-43.371709476161847</v>
      </c>
      <c r="R70">
        <f t="shared" si="22"/>
        <v>164.82540279898848</v>
      </c>
      <c r="S70">
        <f t="shared" si="23"/>
        <v>0</v>
      </c>
    </row>
    <row r="71" spans="3:19" x14ac:dyDescent="0.25">
      <c r="C71">
        <v>183.7961108248947</v>
      </c>
      <c r="D71">
        <v>0</v>
      </c>
      <c r="E71">
        <v>71.452693401450773</v>
      </c>
      <c r="G71">
        <v>0</v>
      </c>
      <c r="I71">
        <v>-165</v>
      </c>
      <c r="K71">
        <v>0</v>
      </c>
      <c r="L71">
        <f t="shared" si="16"/>
        <v>255.24880422634547</v>
      </c>
      <c r="M71">
        <f t="shared" si="17"/>
        <v>-165</v>
      </c>
      <c r="N71">
        <f t="shared" si="18"/>
        <v>0</v>
      </c>
      <c r="O71">
        <f t="shared" si="19"/>
        <v>-183.7961108248947</v>
      </c>
      <c r="P71">
        <f t="shared" si="20"/>
        <v>0</v>
      </c>
      <c r="Q71">
        <f t="shared" si="21"/>
        <v>-71.452693401450773</v>
      </c>
      <c r="R71">
        <f t="shared" si="22"/>
        <v>165</v>
      </c>
      <c r="S71">
        <f t="shared" si="23"/>
        <v>0</v>
      </c>
    </row>
    <row r="72" spans="3:19" x14ac:dyDescent="0.25">
      <c r="C72">
        <v>186.56334467388589</v>
      </c>
      <c r="D72">
        <v>0</v>
      </c>
      <c r="E72">
        <v>0</v>
      </c>
      <c r="G72">
        <v>-194.07341522659007</v>
      </c>
      <c r="I72">
        <v>-43.478470855490293</v>
      </c>
      <c r="K72">
        <v>0</v>
      </c>
      <c r="L72">
        <f t="shared" si="16"/>
        <v>186.56334467388589</v>
      </c>
      <c r="M72">
        <f t="shared" si="17"/>
        <v>-237.55188608208036</v>
      </c>
      <c r="N72">
        <f t="shared" si="18"/>
        <v>0</v>
      </c>
      <c r="O72">
        <f t="shared" si="19"/>
        <v>-186.56334467388589</v>
      </c>
      <c r="P72">
        <f t="shared" si="20"/>
        <v>194.07341522659007</v>
      </c>
      <c r="Q72">
        <f t="shared" si="21"/>
        <v>0</v>
      </c>
      <c r="R72">
        <f t="shared" si="22"/>
        <v>43.478470855490293</v>
      </c>
      <c r="S72">
        <f t="shared" si="23"/>
        <v>0</v>
      </c>
    </row>
    <row r="73" spans="3:19" x14ac:dyDescent="0.25">
      <c r="C73">
        <v>239.81100396913575</v>
      </c>
      <c r="D73">
        <v>0</v>
      </c>
      <c r="E73">
        <v>0</v>
      </c>
      <c r="G73">
        <v>-260</v>
      </c>
      <c r="I73">
        <v>-9.5343799063103933</v>
      </c>
      <c r="K73">
        <v>0</v>
      </c>
      <c r="L73">
        <f t="shared" si="16"/>
        <v>239.81100396913575</v>
      </c>
      <c r="M73">
        <f t="shared" si="17"/>
        <v>-269.53437990631039</v>
      </c>
      <c r="N73">
        <f t="shared" si="18"/>
        <v>0</v>
      </c>
      <c r="O73">
        <f t="shared" si="19"/>
        <v>-239.81100396913575</v>
      </c>
      <c r="P73">
        <f t="shared" si="20"/>
        <v>260</v>
      </c>
      <c r="Q73">
        <f t="shared" si="21"/>
        <v>0</v>
      </c>
      <c r="R73">
        <f t="shared" si="22"/>
        <v>9.5343799063103933</v>
      </c>
      <c r="S73">
        <f t="shared" si="23"/>
        <v>0</v>
      </c>
    </row>
    <row r="74" spans="3:19" x14ac:dyDescent="0.25">
      <c r="C74">
        <v>250.78603792487095</v>
      </c>
      <c r="D74">
        <v>39.259878440550949</v>
      </c>
      <c r="E74">
        <v>0</v>
      </c>
      <c r="G74">
        <v>-195.55842285591783</v>
      </c>
      <c r="I74">
        <v>0</v>
      </c>
      <c r="K74">
        <v>0</v>
      </c>
      <c r="L74">
        <f t="shared" si="16"/>
        <v>290.04591636542193</v>
      </c>
      <c r="M74">
        <f t="shared" si="17"/>
        <v>-195.55842285591783</v>
      </c>
      <c r="N74">
        <f t="shared" si="18"/>
        <v>0</v>
      </c>
      <c r="O74">
        <f t="shared" si="19"/>
        <v>-250.78603792487095</v>
      </c>
      <c r="P74">
        <f t="shared" si="20"/>
        <v>195.55842285591783</v>
      </c>
      <c r="Q74">
        <f t="shared" si="21"/>
        <v>0</v>
      </c>
      <c r="R74">
        <f t="shared" si="22"/>
        <v>0</v>
      </c>
      <c r="S74">
        <f t="shared" si="23"/>
        <v>-39.259878440550949</v>
      </c>
    </row>
    <row r="75" spans="3:19" x14ac:dyDescent="0.25">
      <c r="C75">
        <v>257.77299824264128</v>
      </c>
      <c r="D75">
        <v>39.746827152436374</v>
      </c>
      <c r="E75">
        <v>0</v>
      </c>
      <c r="G75">
        <v>-196.4582385812098</v>
      </c>
      <c r="I75">
        <v>0</v>
      </c>
      <c r="K75">
        <v>0</v>
      </c>
      <c r="L75">
        <f t="shared" si="16"/>
        <v>297.51982539507765</v>
      </c>
      <c r="M75">
        <f t="shared" si="17"/>
        <v>-196.4582385812098</v>
      </c>
      <c r="N75">
        <f t="shared" si="18"/>
        <v>0</v>
      </c>
      <c r="O75">
        <f t="shared" si="19"/>
        <v>-257.77299824264128</v>
      </c>
      <c r="P75">
        <f t="shared" si="20"/>
        <v>196.4582385812098</v>
      </c>
      <c r="Q75">
        <f t="shared" si="21"/>
        <v>0</v>
      </c>
      <c r="R75">
        <f t="shared" si="22"/>
        <v>0</v>
      </c>
      <c r="S75">
        <f t="shared" si="23"/>
        <v>-39.746827152436374</v>
      </c>
    </row>
    <row r="76" spans="3:19" x14ac:dyDescent="0.25">
      <c r="C76">
        <v>345.28528492668437</v>
      </c>
      <c r="D76">
        <v>20.000045008631332</v>
      </c>
      <c r="E76">
        <v>0</v>
      </c>
      <c r="G76">
        <v>-230.48026268515818</v>
      </c>
      <c r="I76">
        <v>0</v>
      </c>
      <c r="K76">
        <v>0</v>
      </c>
      <c r="L76">
        <f t="shared" si="16"/>
        <v>365.2853299353157</v>
      </c>
      <c r="M76">
        <f t="shared" si="17"/>
        <v>-230.48026268515818</v>
      </c>
      <c r="N76">
        <f t="shared" si="18"/>
        <v>0</v>
      </c>
      <c r="O76">
        <f t="shared" si="19"/>
        <v>-345.28528492668437</v>
      </c>
      <c r="P76">
        <f t="shared" si="20"/>
        <v>230.48026268515818</v>
      </c>
      <c r="Q76">
        <f t="shared" si="21"/>
        <v>0</v>
      </c>
      <c r="R76">
        <f t="shared" si="22"/>
        <v>0</v>
      </c>
      <c r="S76">
        <f t="shared" si="23"/>
        <v>-20.000045008631332</v>
      </c>
    </row>
    <row r="77" spans="3:19" x14ac:dyDescent="0.25">
      <c r="C77">
        <v>266.2287439685112</v>
      </c>
      <c r="D77">
        <v>24.89031445137908</v>
      </c>
      <c r="E77">
        <v>0</v>
      </c>
      <c r="G77">
        <v>-260</v>
      </c>
      <c r="I77">
        <v>0</v>
      </c>
      <c r="K77">
        <v>0</v>
      </c>
      <c r="L77">
        <f t="shared" si="16"/>
        <v>291.11905841989028</v>
      </c>
      <c r="M77">
        <f t="shared" si="17"/>
        <v>-260</v>
      </c>
      <c r="N77">
        <f t="shared" si="18"/>
        <v>0</v>
      </c>
      <c r="O77">
        <f t="shared" si="19"/>
        <v>-266.2287439685112</v>
      </c>
      <c r="P77">
        <f t="shared" si="20"/>
        <v>260</v>
      </c>
      <c r="Q77">
        <f t="shared" si="21"/>
        <v>0</v>
      </c>
      <c r="R77">
        <f t="shared" si="22"/>
        <v>0</v>
      </c>
      <c r="S77">
        <f t="shared" si="23"/>
        <v>-24.89031445137908</v>
      </c>
    </row>
    <row r="78" spans="3:19" x14ac:dyDescent="0.25">
      <c r="C78">
        <v>273.94711804419245</v>
      </c>
      <c r="D78">
        <v>22.434196698700248</v>
      </c>
      <c r="E78">
        <v>0</v>
      </c>
      <c r="G78">
        <v>-260</v>
      </c>
      <c r="I78">
        <v>0</v>
      </c>
      <c r="K78">
        <v>0</v>
      </c>
      <c r="L78">
        <f t="shared" si="16"/>
        <v>296.3813147428927</v>
      </c>
      <c r="M78">
        <f t="shared" si="17"/>
        <v>-260</v>
      </c>
      <c r="N78">
        <f t="shared" si="18"/>
        <v>0</v>
      </c>
      <c r="O78">
        <f t="shared" si="19"/>
        <v>-273.94711804419245</v>
      </c>
      <c r="P78">
        <f t="shared" si="20"/>
        <v>260</v>
      </c>
      <c r="Q78">
        <f t="shared" si="21"/>
        <v>0</v>
      </c>
      <c r="R78">
        <f t="shared" si="22"/>
        <v>0</v>
      </c>
      <c r="S78">
        <f t="shared" si="23"/>
        <v>-22.434196698700248</v>
      </c>
    </row>
    <row r="79" spans="3:19" x14ac:dyDescent="0.25">
      <c r="C79">
        <v>274.1972650538313</v>
      </c>
      <c r="D79">
        <v>21.891991616636915</v>
      </c>
      <c r="E79">
        <v>0</v>
      </c>
      <c r="G79">
        <v>-260</v>
      </c>
      <c r="I79">
        <v>0</v>
      </c>
      <c r="K79">
        <v>0</v>
      </c>
      <c r="L79">
        <f t="shared" si="16"/>
        <v>296.08925667046822</v>
      </c>
      <c r="M79">
        <f t="shared" si="17"/>
        <v>-260</v>
      </c>
      <c r="N79">
        <f t="shared" si="18"/>
        <v>0</v>
      </c>
      <c r="O79">
        <f t="shared" si="19"/>
        <v>-274.1972650538313</v>
      </c>
      <c r="P79">
        <f t="shared" si="20"/>
        <v>260</v>
      </c>
      <c r="Q79">
        <f t="shared" si="21"/>
        <v>0</v>
      </c>
      <c r="R79">
        <f t="shared" si="22"/>
        <v>0</v>
      </c>
      <c r="S79">
        <f t="shared" si="23"/>
        <v>-21.891991616636915</v>
      </c>
    </row>
    <row r="80" spans="3:19" x14ac:dyDescent="0.25">
      <c r="C80">
        <v>202.38515165035594</v>
      </c>
      <c r="D80">
        <v>0</v>
      </c>
      <c r="E80">
        <v>0</v>
      </c>
      <c r="G80">
        <v>-147.39537246024031</v>
      </c>
      <c r="I80">
        <v>-65.233257821035409</v>
      </c>
      <c r="K80">
        <v>0</v>
      </c>
      <c r="L80">
        <f t="shared" si="16"/>
        <v>202.38515165035594</v>
      </c>
      <c r="M80">
        <f t="shared" si="17"/>
        <v>-212.62863028127572</v>
      </c>
      <c r="N80">
        <f t="shared" si="18"/>
        <v>0</v>
      </c>
      <c r="O80">
        <f t="shared" si="19"/>
        <v>-202.38515165035594</v>
      </c>
      <c r="P80">
        <f t="shared" si="20"/>
        <v>147.39537246024031</v>
      </c>
      <c r="Q80">
        <f t="shared" si="21"/>
        <v>0</v>
      </c>
      <c r="R80">
        <f t="shared" si="22"/>
        <v>65.233257821035409</v>
      </c>
      <c r="S80">
        <f t="shared" si="23"/>
        <v>0</v>
      </c>
    </row>
    <row r="81" spans="3:27" x14ac:dyDescent="0.25">
      <c r="C81">
        <v>108.06962451534048</v>
      </c>
      <c r="D81">
        <v>0</v>
      </c>
      <c r="E81">
        <v>111.80268249607829</v>
      </c>
      <c r="G81">
        <v>0</v>
      </c>
      <c r="I81">
        <v>-13.73662601502258</v>
      </c>
      <c r="K81">
        <v>0</v>
      </c>
      <c r="L81">
        <f t="shared" si="16"/>
        <v>219.87230701141877</v>
      </c>
      <c r="M81">
        <f t="shared" si="17"/>
        <v>-13.73662601502258</v>
      </c>
      <c r="N81">
        <f t="shared" si="18"/>
        <v>0</v>
      </c>
      <c r="O81">
        <f t="shared" si="19"/>
        <v>-108.06962451534048</v>
      </c>
      <c r="P81">
        <f t="shared" si="20"/>
        <v>0</v>
      </c>
      <c r="Q81">
        <f t="shared" si="21"/>
        <v>-111.80268249607829</v>
      </c>
      <c r="R81">
        <f t="shared" si="22"/>
        <v>13.73662601502258</v>
      </c>
      <c r="S81">
        <f t="shared" si="23"/>
        <v>0</v>
      </c>
    </row>
    <row r="82" spans="3:27" x14ac:dyDescent="0.25">
      <c r="C82">
        <v>208.32666360464432</v>
      </c>
      <c r="D82">
        <v>0</v>
      </c>
      <c r="E82">
        <v>0</v>
      </c>
      <c r="G82">
        <v>-2.3494384279181872</v>
      </c>
      <c r="I82">
        <v>-151.41731130179227</v>
      </c>
      <c r="K82">
        <v>0</v>
      </c>
      <c r="L82">
        <f t="shared" si="16"/>
        <v>208.32666360464432</v>
      </c>
      <c r="M82">
        <f t="shared" si="17"/>
        <v>-153.76674972971045</v>
      </c>
      <c r="N82">
        <f t="shared" si="18"/>
        <v>0</v>
      </c>
      <c r="O82">
        <f t="shared" si="19"/>
        <v>-208.32666360464432</v>
      </c>
      <c r="P82">
        <f t="shared" si="20"/>
        <v>2.3494384279181872</v>
      </c>
      <c r="Q82">
        <f t="shared" si="21"/>
        <v>0</v>
      </c>
      <c r="R82">
        <f t="shared" si="22"/>
        <v>151.41731130179227</v>
      </c>
      <c r="S82">
        <f t="shared" si="23"/>
        <v>0</v>
      </c>
    </row>
    <row r="83" spans="3:27" x14ac:dyDescent="0.25">
      <c r="C83">
        <v>214.83426408593564</v>
      </c>
      <c r="D83">
        <v>0</v>
      </c>
      <c r="E83">
        <v>0</v>
      </c>
      <c r="G83">
        <v>-29.172250427431038</v>
      </c>
      <c r="I83">
        <v>-137.92823469030631</v>
      </c>
      <c r="K83">
        <v>0</v>
      </c>
      <c r="L83">
        <f t="shared" si="16"/>
        <v>214.83426408593564</v>
      </c>
      <c r="M83">
        <f t="shared" si="17"/>
        <v>-167.10048511773735</v>
      </c>
      <c r="N83">
        <f t="shared" si="18"/>
        <v>0</v>
      </c>
      <c r="O83">
        <f t="shared" si="19"/>
        <v>-214.83426408593564</v>
      </c>
      <c r="P83">
        <f t="shared" si="20"/>
        <v>29.172250427431038</v>
      </c>
      <c r="Q83">
        <f t="shared" si="21"/>
        <v>0</v>
      </c>
      <c r="R83">
        <f t="shared" si="22"/>
        <v>137.92823469030631</v>
      </c>
      <c r="S83">
        <f t="shared" si="23"/>
        <v>0</v>
      </c>
    </row>
    <row r="84" spans="3:27" x14ac:dyDescent="0.25">
      <c r="C84">
        <v>88.251801328151998</v>
      </c>
      <c r="D84">
        <v>0</v>
      </c>
      <c r="E84">
        <v>0</v>
      </c>
      <c r="G84">
        <v>-90.965314482953886</v>
      </c>
      <c r="I84">
        <v>-20.187817285115898</v>
      </c>
      <c r="K84">
        <v>0</v>
      </c>
      <c r="L84">
        <f t="shared" si="16"/>
        <v>88.251801328151998</v>
      </c>
      <c r="M84">
        <f t="shared" si="17"/>
        <v>-111.15313176806978</v>
      </c>
      <c r="N84">
        <f t="shared" si="18"/>
        <v>0</v>
      </c>
      <c r="O84">
        <f t="shared" si="19"/>
        <v>-88.251801328151998</v>
      </c>
      <c r="P84">
        <f t="shared" si="20"/>
        <v>90.965314482953886</v>
      </c>
      <c r="Q84">
        <f t="shared" si="21"/>
        <v>0</v>
      </c>
      <c r="R84">
        <f t="shared" si="22"/>
        <v>20.187817285115898</v>
      </c>
      <c r="S84">
        <f t="shared" si="23"/>
        <v>0</v>
      </c>
    </row>
    <row r="85" spans="3:27" x14ac:dyDescent="0.25">
      <c r="C85">
        <v>171.39668735039479</v>
      </c>
      <c r="D85">
        <v>165</v>
      </c>
      <c r="E85">
        <v>0</v>
      </c>
      <c r="G85">
        <v>-209.78349909187287</v>
      </c>
      <c r="I85">
        <v>0</v>
      </c>
      <c r="K85">
        <v>0</v>
      </c>
      <c r="L85">
        <f t="shared" si="16"/>
        <v>336.39668735039481</v>
      </c>
      <c r="M85">
        <f t="shared" si="17"/>
        <v>-209.78349909187287</v>
      </c>
      <c r="N85">
        <f t="shared" si="18"/>
        <v>0</v>
      </c>
      <c r="O85">
        <f t="shared" si="19"/>
        <v>-171.39668735039479</v>
      </c>
      <c r="P85">
        <f t="shared" si="20"/>
        <v>209.78349909187287</v>
      </c>
      <c r="Q85">
        <f t="shared" si="21"/>
        <v>0</v>
      </c>
      <c r="R85">
        <f t="shared" si="22"/>
        <v>0</v>
      </c>
      <c r="S85">
        <f t="shared" si="23"/>
        <v>-165</v>
      </c>
    </row>
    <row r="86" spans="3:27" x14ac:dyDescent="0.25">
      <c r="C86">
        <v>240.25062383698423</v>
      </c>
      <c r="D86">
        <v>29.556207117473321</v>
      </c>
      <c r="E86">
        <v>0</v>
      </c>
      <c r="G86">
        <v>-211.01279103353696</v>
      </c>
      <c r="I86">
        <v>0</v>
      </c>
      <c r="K86">
        <v>0</v>
      </c>
      <c r="L86">
        <f t="shared" si="16"/>
        <v>269.80683095445755</v>
      </c>
      <c r="M86">
        <f t="shared" si="17"/>
        <v>-211.01279103353696</v>
      </c>
      <c r="N86">
        <f t="shared" si="18"/>
        <v>0</v>
      </c>
      <c r="O86">
        <f t="shared" si="19"/>
        <v>-240.25062383698423</v>
      </c>
      <c r="P86">
        <f t="shared" si="20"/>
        <v>211.01279103353696</v>
      </c>
      <c r="Q86">
        <f t="shared" si="21"/>
        <v>0</v>
      </c>
      <c r="R86">
        <f t="shared" si="22"/>
        <v>0</v>
      </c>
      <c r="S86">
        <f t="shared" si="23"/>
        <v>-29.556207117473321</v>
      </c>
    </row>
    <row r="87" spans="3:27" x14ac:dyDescent="0.25">
      <c r="C87">
        <v>249.27306487749198</v>
      </c>
      <c r="D87">
        <v>36.322004251396663</v>
      </c>
      <c r="E87">
        <v>0</v>
      </c>
      <c r="G87">
        <v>-197.80304794290922</v>
      </c>
      <c r="I87">
        <v>0</v>
      </c>
      <c r="K87">
        <v>0</v>
      </c>
      <c r="L87">
        <f t="shared" si="16"/>
        <v>285.59506912888867</v>
      </c>
      <c r="M87">
        <f t="shared" si="17"/>
        <v>-197.80304794290922</v>
      </c>
      <c r="N87">
        <f t="shared" si="18"/>
        <v>0</v>
      </c>
      <c r="O87">
        <f t="shared" si="19"/>
        <v>-249.27306487749198</v>
      </c>
      <c r="P87">
        <f t="shared" si="20"/>
        <v>197.80304794290922</v>
      </c>
      <c r="Q87">
        <f t="shared" si="21"/>
        <v>0</v>
      </c>
      <c r="R87">
        <f t="shared" si="22"/>
        <v>0</v>
      </c>
      <c r="S87">
        <f t="shared" si="23"/>
        <v>-36.322004251396663</v>
      </c>
    </row>
    <row r="88" spans="3:27" x14ac:dyDescent="0.25">
      <c r="C88">
        <v>244.15150876350953</v>
      </c>
      <c r="D88">
        <v>31.285849513468463</v>
      </c>
      <c r="E88">
        <v>0</v>
      </c>
      <c r="G88">
        <v>-229.76765699432835</v>
      </c>
      <c r="I88">
        <v>0</v>
      </c>
      <c r="K88">
        <v>0</v>
      </c>
      <c r="L88">
        <f t="shared" si="16"/>
        <v>275.43735827697799</v>
      </c>
      <c r="M88">
        <f t="shared" si="17"/>
        <v>-229.76765699432835</v>
      </c>
      <c r="N88">
        <f t="shared" si="18"/>
        <v>0</v>
      </c>
      <c r="O88">
        <f t="shared" si="19"/>
        <v>-244.15150876350953</v>
      </c>
      <c r="P88">
        <f t="shared" si="20"/>
        <v>229.76765699432835</v>
      </c>
      <c r="Q88">
        <f t="shared" si="21"/>
        <v>0</v>
      </c>
      <c r="R88">
        <f t="shared" si="22"/>
        <v>0</v>
      </c>
      <c r="S88">
        <f t="shared" si="23"/>
        <v>-31.285849513468463</v>
      </c>
    </row>
    <row r="92" spans="3:27" x14ac:dyDescent="0.25">
      <c r="D92" t="s">
        <v>56</v>
      </c>
      <c r="F92" t="s">
        <v>59</v>
      </c>
      <c r="H92" t="s">
        <v>60</v>
      </c>
      <c r="J92" t="s">
        <v>61</v>
      </c>
      <c r="L92" t="s">
        <v>56</v>
      </c>
      <c r="N92" t="s">
        <v>59</v>
      </c>
      <c r="P92" t="s">
        <v>60</v>
      </c>
      <c r="R92" t="s">
        <v>61</v>
      </c>
      <c r="T92" t="s">
        <v>56</v>
      </c>
      <c r="V92" t="s">
        <v>59</v>
      </c>
      <c r="X92" t="s">
        <v>60</v>
      </c>
      <c r="Z92" t="s">
        <v>61</v>
      </c>
    </row>
    <row r="93" spans="3:27" x14ac:dyDescent="0.25">
      <c r="C93" t="s">
        <v>62</v>
      </c>
      <c r="D93" t="s">
        <v>63</v>
      </c>
      <c r="E93" t="s">
        <v>64</v>
      </c>
      <c r="F93" t="s">
        <v>65</v>
      </c>
      <c r="G93" t="s">
        <v>66</v>
      </c>
      <c r="H93" t="s">
        <v>67</v>
      </c>
      <c r="I93" t="s">
        <v>68</v>
      </c>
      <c r="J93" t="s">
        <v>69</v>
      </c>
      <c r="K93" t="s">
        <v>70</v>
      </c>
      <c r="L93" t="s">
        <v>71</v>
      </c>
      <c r="M93" t="s">
        <v>72</v>
      </c>
      <c r="N93" t="s">
        <v>73</v>
      </c>
      <c r="O93" t="s">
        <v>74</v>
      </c>
      <c r="P93" t="s">
        <v>75</v>
      </c>
      <c r="Q93" t="s">
        <v>76</v>
      </c>
      <c r="R93" t="s">
        <v>77</v>
      </c>
      <c r="S93" t="s">
        <v>78</v>
      </c>
      <c r="T93" t="s">
        <v>79</v>
      </c>
      <c r="U93" t="s">
        <v>80</v>
      </c>
      <c r="V93" t="s">
        <v>81</v>
      </c>
      <c r="W93" t="s">
        <v>82</v>
      </c>
      <c r="X93" t="s">
        <v>83</v>
      </c>
      <c r="Y93" t="s">
        <v>84</v>
      </c>
      <c r="Z93" t="s">
        <v>85</v>
      </c>
      <c r="AA93" t="s">
        <v>86</v>
      </c>
    </row>
    <row r="94" spans="3:27" x14ac:dyDescent="0.25">
      <c r="C94" t="s">
        <v>0</v>
      </c>
      <c r="D94" s="29">
        <v>132.22430348421108</v>
      </c>
      <c r="E94" s="29">
        <v>-191.96989177821638</v>
      </c>
      <c r="F94" s="29">
        <v>0</v>
      </c>
      <c r="G94" s="29">
        <v>-132.22430348421108</v>
      </c>
      <c r="H94" s="29">
        <v>146.37519907280588</v>
      </c>
      <c r="I94" s="29">
        <v>0</v>
      </c>
      <c r="J94" s="29">
        <v>45.594692705410502</v>
      </c>
      <c r="K94" s="29">
        <v>0</v>
      </c>
      <c r="L94" s="29">
        <v>245.78535299348704</v>
      </c>
      <c r="M94" s="29">
        <v>-324.14951459193838</v>
      </c>
      <c r="N94" s="29">
        <v>0</v>
      </c>
      <c r="O94" s="29">
        <v>-245.78535299348704</v>
      </c>
      <c r="P94" s="29">
        <v>260</v>
      </c>
      <c r="Q94" s="29">
        <v>0</v>
      </c>
      <c r="R94" s="29">
        <v>64.149514591938384</v>
      </c>
      <c r="S94" s="29">
        <v>0</v>
      </c>
      <c r="T94" s="29">
        <v>393.74794699889861</v>
      </c>
      <c r="U94" s="29">
        <v>-260</v>
      </c>
      <c r="V94" s="29">
        <v>0</v>
      </c>
      <c r="W94" s="29">
        <v>-390</v>
      </c>
      <c r="X94" s="29">
        <v>260</v>
      </c>
      <c r="Y94" s="29">
        <v>0</v>
      </c>
      <c r="Z94" s="29">
        <v>0</v>
      </c>
      <c r="AA94" s="29">
        <v>-3.7479469988986116</v>
      </c>
    </row>
    <row r="95" spans="3:27" x14ac:dyDescent="0.25">
      <c r="C95" t="s">
        <v>1</v>
      </c>
      <c r="D95" s="29">
        <v>165.21593529960313</v>
      </c>
      <c r="E95" s="29">
        <v>-276.23539993654578</v>
      </c>
      <c r="F95" s="29">
        <v>0</v>
      </c>
      <c r="G95" s="29">
        <v>-165.21593529960313</v>
      </c>
      <c r="H95" s="29">
        <v>260</v>
      </c>
      <c r="I95" s="29">
        <v>0</v>
      </c>
      <c r="J95" s="29">
        <v>16.235399936545775</v>
      </c>
      <c r="K95" s="29">
        <v>0</v>
      </c>
      <c r="L95" s="29">
        <v>278.18991972656795</v>
      </c>
      <c r="M95" s="29">
        <v>-324.97453631789517</v>
      </c>
      <c r="N95" s="29">
        <v>0</v>
      </c>
      <c r="O95" s="29">
        <v>-278.18991972656795</v>
      </c>
      <c r="P95" s="29">
        <v>260</v>
      </c>
      <c r="Q95" s="29">
        <v>0</v>
      </c>
      <c r="R95" s="29">
        <v>64.974536317895158</v>
      </c>
      <c r="S95" s="29">
        <v>0</v>
      </c>
      <c r="T95" s="29">
        <v>392.70402576165361</v>
      </c>
      <c r="U95" s="29">
        <v>-260</v>
      </c>
      <c r="V95" s="29">
        <v>0</v>
      </c>
      <c r="W95" s="29">
        <v>-390</v>
      </c>
      <c r="X95" s="29">
        <v>260</v>
      </c>
      <c r="Y95" s="29">
        <v>0</v>
      </c>
      <c r="Z95" s="29">
        <v>0</v>
      </c>
      <c r="AA95" s="29">
        <v>-2.704025761653611</v>
      </c>
    </row>
    <row r="96" spans="3:27" x14ac:dyDescent="0.25">
      <c r="C96" t="s">
        <v>2</v>
      </c>
      <c r="D96" s="29">
        <v>163.88693820434932</v>
      </c>
      <c r="E96" s="29">
        <v>-273.1982085409731</v>
      </c>
      <c r="F96" s="29">
        <v>0</v>
      </c>
      <c r="G96" s="29">
        <v>-163.88693820434932</v>
      </c>
      <c r="H96" s="29">
        <v>260</v>
      </c>
      <c r="I96" s="29">
        <v>0</v>
      </c>
      <c r="J96" s="29">
        <v>13.198208540973095</v>
      </c>
      <c r="K96" s="29">
        <v>0</v>
      </c>
      <c r="L96" s="29">
        <v>276.83596871298835</v>
      </c>
      <c r="M96" s="29">
        <v>-325.14915369919839</v>
      </c>
      <c r="N96" s="29">
        <v>0</v>
      </c>
      <c r="O96" s="29">
        <v>-276.83596871298835</v>
      </c>
      <c r="P96" s="29">
        <v>260</v>
      </c>
      <c r="Q96" s="29">
        <v>0</v>
      </c>
      <c r="R96" s="29">
        <v>65.149153699198408</v>
      </c>
      <c r="S96" s="29">
        <v>0</v>
      </c>
      <c r="T96" s="29">
        <v>392.52083568665341</v>
      </c>
      <c r="U96" s="29">
        <v>-260</v>
      </c>
      <c r="V96" s="29">
        <v>0</v>
      </c>
      <c r="W96" s="29">
        <v>-390</v>
      </c>
      <c r="X96" s="29">
        <v>260</v>
      </c>
      <c r="Y96" s="29">
        <v>0</v>
      </c>
      <c r="Z96" s="29">
        <v>0</v>
      </c>
      <c r="AA96" s="29">
        <v>-2.5208356866534132</v>
      </c>
    </row>
    <row r="97" spans="3:27" x14ac:dyDescent="0.25">
      <c r="C97" t="s">
        <v>3</v>
      </c>
      <c r="D97" s="29">
        <v>251.62460510107343</v>
      </c>
      <c r="E97" s="29">
        <v>-251.74134219747253</v>
      </c>
      <c r="F97" s="29">
        <v>0</v>
      </c>
      <c r="G97" s="29">
        <v>-86.624605101073428</v>
      </c>
      <c r="H97" s="29">
        <v>251.74134219747253</v>
      </c>
      <c r="I97" s="29">
        <v>0</v>
      </c>
      <c r="J97" s="29">
        <v>0</v>
      </c>
      <c r="K97" s="29">
        <v>-165</v>
      </c>
      <c r="L97" s="29">
        <v>181.95002024103246</v>
      </c>
      <c r="M97" s="29">
        <v>-248.78010847143588</v>
      </c>
      <c r="N97" s="29">
        <v>0</v>
      </c>
      <c r="O97" s="29">
        <v>-181.95002024103246</v>
      </c>
      <c r="P97" s="29">
        <v>114.50789455835047</v>
      </c>
      <c r="Q97" s="29">
        <v>0</v>
      </c>
      <c r="R97" s="29">
        <v>134.27221391308541</v>
      </c>
      <c r="S97" s="29">
        <v>0</v>
      </c>
      <c r="T97" s="29">
        <v>340.90311115550014</v>
      </c>
      <c r="U97" s="29">
        <v>-299.47745672176563</v>
      </c>
      <c r="V97" s="29">
        <v>0</v>
      </c>
      <c r="W97" s="29">
        <v>-340.90311115550014</v>
      </c>
      <c r="X97" s="29">
        <v>260</v>
      </c>
      <c r="Y97" s="29">
        <v>0</v>
      </c>
      <c r="Z97" s="29">
        <v>39.477456721765627</v>
      </c>
      <c r="AA97" s="29">
        <v>0</v>
      </c>
    </row>
    <row r="98" spans="3:27" x14ac:dyDescent="0.25">
      <c r="C98" t="s">
        <v>4</v>
      </c>
      <c r="D98" s="29">
        <v>104.56848269378429</v>
      </c>
      <c r="E98" s="29">
        <v>-219.27028600376605</v>
      </c>
      <c r="F98" s="29">
        <v>0</v>
      </c>
      <c r="G98" s="29">
        <v>-104.56848269378429</v>
      </c>
      <c r="H98" s="29">
        <v>155.0554898845138</v>
      </c>
      <c r="I98" s="29">
        <v>0</v>
      </c>
      <c r="J98" s="29">
        <v>64.214796119252242</v>
      </c>
      <c r="K98" s="29">
        <v>0</v>
      </c>
      <c r="L98" s="29">
        <v>172.1132747075109</v>
      </c>
      <c r="M98" s="29">
        <v>-163.74252601466</v>
      </c>
      <c r="N98" s="29">
        <v>0</v>
      </c>
      <c r="O98" s="29">
        <v>-172.1132747075109</v>
      </c>
      <c r="P98" s="29">
        <v>82.36682599035916</v>
      </c>
      <c r="Q98" s="29">
        <v>0</v>
      </c>
      <c r="R98" s="29">
        <v>81.375700024300841</v>
      </c>
      <c r="S98" s="29">
        <v>0</v>
      </c>
      <c r="T98" s="29">
        <v>121.11134032718167</v>
      </c>
      <c r="U98" s="29">
        <v>-8.8348043077516536</v>
      </c>
      <c r="V98" s="29">
        <v>0</v>
      </c>
      <c r="W98" s="29">
        <v>-88.553578708935788</v>
      </c>
      <c r="X98" s="29">
        <v>0</v>
      </c>
      <c r="Y98" s="29">
        <v>-32.557761618245884</v>
      </c>
      <c r="Z98" s="29">
        <v>8.8348043077516536</v>
      </c>
      <c r="AA98" s="29">
        <v>0</v>
      </c>
    </row>
    <row r="99" spans="3:27" x14ac:dyDescent="0.25">
      <c r="C99" t="s">
        <v>5</v>
      </c>
      <c r="D99" s="29">
        <v>124.12631737011452</v>
      </c>
      <c r="E99" s="29">
        <v>-165</v>
      </c>
      <c r="F99" s="29">
        <v>0</v>
      </c>
      <c r="G99" s="29">
        <v>-100.41035270007259</v>
      </c>
      <c r="H99" s="29">
        <v>0</v>
      </c>
      <c r="I99" s="29">
        <v>-23.715964670041931</v>
      </c>
      <c r="J99" s="29">
        <v>165</v>
      </c>
      <c r="K99" s="29">
        <v>0</v>
      </c>
      <c r="L99" s="29">
        <v>328.5041468400417</v>
      </c>
      <c r="M99" s="29">
        <v>-165</v>
      </c>
      <c r="N99" s="29">
        <v>0</v>
      </c>
      <c r="O99" s="29">
        <v>-68.504146840041727</v>
      </c>
      <c r="P99" s="29">
        <v>0</v>
      </c>
      <c r="Q99" s="29">
        <v>-260</v>
      </c>
      <c r="R99" s="29">
        <v>165</v>
      </c>
      <c r="S99" s="29">
        <v>0</v>
      </c>
      <c r="T99" s="29">
        <v>237.16449159920577</v>
      </c>
      <c r="U99" s="29">
        <v>-164.82540279898848</v>
      </c>
      <c r="V99" s="29">
        <v>0</v>
      </c>
      <c r="W99" s="29">
        <v>-193.79278212304393</v>
      </c>
      <c r="X99" s="29">
        <v>0</v>
      </c>
      <c r="Y99" s="29">
        <v>-43.371709476161847</v>
      </c>
      <c r="Z99" s="29">
        <v>164.82540279898848</v>
      </c>
      <c r="AA99" s="29">
        <v>0</v>
      </c>
    </row>
    <row r="100" spans="3:27" x14ac:dyDescent="0.25">
      <c r="C100" t="s">
        <v>6</v>
      </c>
      <c r="D100" s="29">
        <v>132.11540005004008</v>
      </c>
      <c r="E100" s="29">
        <v>-165</v>
      </c>
      <c r="F100" s="29">
        <v>0</v>
      </c>
      <c r="G100" s="29">
        <v>-93.702448636097898</v>
      </c>
      <c r="H100" s="29">
        <v>0</v>
      </c>
      <c r="I100" s="29">
        <v>-38.412951413942181</v>
      </c>
      <c r="J100" s="29">
        <v>165</v>
      </c>
      <c r="K100" s="29">
        <v>0</v>
      </c>
      <c r="L100" s="29">
        <v>319.39535426055568</v>
      </c>
      <c r="M100" s="29">
        <v>-165</v>
      </c>
      <c r="N100" s="29">
        <v>0</v>
      </c>
      <c r="O100" s="29">
        <v>-59.395354260555656</v>
      </c>
      <c r="P100" s="29">
        <v>0</v>
      </c>
      <c r="Q100" s="29">
        <v>-260</v>
      </c>
      <c r="R100" s="29">
        <v>165</v>
      </c>
      <c r="S100" s="29">
        <v>0</v>
      </c>
      <c r="T100" s="29">
        <v>255.24880422634547</v>
      </c>
      <c r="U100" s="29">
        <v>-165</v>
      </c>
      <c r="V100" s="29">
        <v>0</v>
      </c>
      <c r="W100" s="29">
        <v>-183.7961108248947</v>
      </c>
      <c r="X100" s="29">
        <v>0</v>
      </c>
      <c r="Y100" s="29">
        <v>-71.452693401450773</v>
      </c>
      <c r="Z100" s="29">
        <v>165</v>
      </c>
      <c r="AA100" s="29">
        <v>0</v>
      </c>
    </row>
    <row r="101" spans="3:27" x14ac:dyDescent="0.25">
      <c r="C101" t="s">
        <v>7</v>
      </c>
      <c r="D101" s="29">
        <v>146.33854029140772</v>
      </c>
      <c r="E101" s="29">
        <v>-238.81093593601108</v>
      </c>
      <c r="F101" s="29">
        <v>0</v>
      </c>
      <c r="G101" s="29">
        <v>-146.33854029140772</v>
      </c>
      <c r="H101" s="29">
        <v>139.20854688347822</v>
      </c>
      <c r="I101" s="29">
        <v>0</v>
      </c>
      <c r="J101" s="29">
        <v>99.602389052532857</v>
      </c>
      <c r="K101" s="29">
        <v>0</v>
      </c>
      <c r="L101" s="29">
        <v>186.80623463547857</v>
      </c>
      <c r="M101" s="29">
        <v>-127.52273568002829</v>
      </c>
      <c r="N101" s="29">
        <v>0</v>
      </c>
      <c r="O101" s="29">
        <v>-146.70477363085456</v>
      </c>
      <c r="P101" s="29">
        <v>0</v>
      </c>
      <c r="Q101" s="29">
        <v>-40.101461004624014</v>
      </c>
      <c r="R101" s="29">
        <v>127.52273568002829</v>
      </c>
      <c r="S101" s="29">
        <v>0</v>
      </c>
      <c r="T101" s="29">
        <v>186.56334467388589</v>
      </c>
      <c r="U101" s="29">
        <v>-237.55188608208036</v>
      </c>
      <c r="V101" s="29">
        <v>0</v>
      </c>
      <c r="W101" s="29">
        <v>-186.56334467388589</v>
      </c>
      <c r="X101" s="29">
        <v>194.07341522659007</v>
      </c>
      <c r="Y101" s="29">
        <v>0</v>
      </c>
      <c r="Z101" s="29">
        <v>43.478470855490293</v>
      </c>
      <c r="AA101" s="29">
        <v>0</v>
      </c>
    </row>
    <row r="102" spans="3:27" x14ac:dyDescent="0.25">
      <c r="C102" t="s">
        <v>8</v>
      </c>
      <c r="D102" s="29">
        <v>224.17722059421689</v>
      </c>
      <c r="E102" s="29">
        <v>-217.42957933098523</v>
      </c>
      <c r="F102" s="29">
        <v>0</v>
      </c>
      <c r="G102" s="29">
        <v>-106.17000002146369</v>
      </c>
      <c r="H102" s="29">
        <v>217.42957933098523</v>
      </c>
      <c r="I102" s="29">
        <v>0</v>
      </c>
      <c r="J102" s="29">
        <v>0</v>
      </c>
      <c r="K102" s="29">
        <v>-118.0072205727532</v>
      </c>
      <c r="L102" s="29">
        <v>241.69043304108465</v>
      </c>
      <c r="M102" s="29">
        <v>-222.40471621424271</v>
      </c>
      <c r="N102" s="29">
        <v>0</v>
      </c>
      <c r="O102" s="29">
        <v>-84.18217384374266</v>
      </c>
      <c r="P102" s="29">
        <v>222.40471621424271</v>
      </c>
      <c r="Q102" s="29">
        <v>0</v>
      </c>
      <c r="R102" s="29">
        <v>0</v>
      </c>
      <c r="S102" s="29">
        <v>-157.50825919734197</v>
      </c>
      <c r="T102" s="29">
        <v>239.81100396913575</v>
      </c>
      <c r="U102" s="29">
        <v>-269.53437990631039</v>
      </c>
      <c r="V102" s="29">
        <v>0</v>
      </c>
      <c r="W102" s="29">
        <v>-239.81100396913575</v>
      </c>
      <c r="X102" s="29">
        <v>260</v>
      </c>
      <c r="Y102" s="29">
        <v>0</v>
      </c>
      <c r="Z102" s="29">
        <v>9.5343799063103933</v>
      </c>
      <c r="AA102" s="29">
        <v>0</v>
      </c>
    </row>
    <row r="103" spans="3:27" x14ac:dyDescent="0.25">
      <c r="C103" t="s">
        <v>9</v>
      </c>
      <c r="D103" s="29">
        <v>179.96042933495539</v>
      </c>
      <c r="E103" s="29">
        <v>-180.91420098039907</v>
      </c>
      <c r="F103" s="29">
        <v>0</v>
      </c>
      <c r="G103" s="29">
        <v>-14.960429334955393</v>
      </c>
      <c r="H103" s="29">
        <v>180.91420098039907</v>
      </c>
      <c r="I103" s="29">
        <v>0</v>
      </c>
      <c r="J103" s="29">
        <v>0</v>
      </c>
      <c r="K103" s="29">
        <v>-165</v>
      </c>
      <c r="L103" s="29">
        <v>257.03966751007209</v>
      </c>
      <c r="M103" s="29">
        <v>-161.99592046491358</v>
      </c>
      <c r="N103" s="29">
        <v>0</v>
      </c>
      <c r="O103" s="29">
        <v>-92.039667510072078</v>
      </c>
      <c r="P103" s="29">
        <v>161.99592046491358</v>
      </c>
      <c r="Q103" s="29">
        <v>0</v>
      </c>
      <c r="R103" s="29">
        <v>0</v>
      </c>
      <c r="S103" s="29">
        <v>-165</v>
      </c>
      <c r="T103" s="29">
        <v>290.04591636542193</v>
      </c>
      <c r="U103" s="29">
        <v>-195.55842285591783</v>
      </c>
      <c r="V103" s="29">
        <v>0</v>
      </c>
      <c r="W103" s="29">
        <v>-250.78603792487095</v>
      </c>
      <c r="X103" s="29">
        <v>195.55842285591783</v>
      </c>
      <c r="Y103" s="29">
        <v>0</v>
      </c>
      <c r="Z103" s="29">
        <v>0</v>
      </c>
      <c r="AA103" s="29">
        <v>-39.259878440550949</v>
      </c>
    </row>
    <row r="104" spans="3:27" x14ac:dyDescent="0.25">
      <c r="C104" t="s">
        <v>10</v>
      </c>
      <c r="D104" s="29">
        <v>165</v>
      </c>
      <c r="E104" s="29">
        <v>-161.7670940900037</v>
      </c>
      <c r="F104" s="29">
        <v>13.71855077512441</v>
      </c>
      <c r="G104" s="29">
        <v>0</v>
      </c>
      <c r="H104" s="29">
        <v>148.04854331487928</v>
      </c>
      <c r="I104" s="29">
        <v>0</v>
      </c>
      <c r="J104" s="29">
        <v>0</v>
      </c>
      <c r="K104" s="29">
        <v>-165</v>
      </c>
      <c r="L104" s="29">
        <v>173.40144447168836</v>
      </c>
      <c r="M104" s="29">
        <v>-94.53361877997871</v>
      </c>
      <c r="N104" s="29">
        <v>0</v>
      </c>
      <c r="O104" s="29">
        <v>-91.473053192914961</v>
      </c>
      <c r="P104" s="29">
        <v>94.53361877997871</v>
      </c>
      <c r="Q104" s="29">
        <v>0</v>
      </c>
      <c r="R104" s="29">
        <v>0</v>
      </c>
      <c r="S104" s="29">
        <v>-81.92839127877339</v>
      </c>
      <c r="T104" s="29">
        <v>297.51982539507765</v>
      </c>
      <c r="U104" s="29">
        <v>-196.4582385812098</v>
      </c>
      <c r="V104" s="29">
        <v>0</v>
      </c>
      <c r="W104" s="29">
        <v>-257.77299824264128</v>
      </c>
      <c r="X104" s="29">
        <v>196.4582385812098</v>
      </c>
      <c r="Y104" s="29">
        <v>0</v>
      </c>
      <c r="Z104" s="29">
        <v>0</v>
      </c>
      <c r="AA104" s="29">
        <v>-39.746827152436374</v>
      </c>
    </row>
    <row r="105" spans="3:27" x14ac:dyDescent="0.25">
      <c r="C105" t="s">
        <v>11</v>
      </c>
      <c r="D105" s="29">
        <v>183.83519008586472</v>
      </c>
      <c r="E105" s="29">
        <v>-135.09294937962579</v>
      </c>
      <c r="F105" s="29">
        <v>0</v>
      </c>
      <c r="G105" s="29">
        <v>-64.680305345507534</v>
      </c>
      <c r="H105" s="29">
        <v>135.09294937962579</v>
      </c>
      <c r="I105" s="29">
        <v>0</v>
      </c>
      <c r="J105" s="29">
        <v>0</v>
      </c>
      <c r="K105" s="29">
        <v>-119.15488474035719</v>
      </c>
      <c r="L105" s="29">
        <v>179.85291377377112</v>
      </c>
      <c r="M105" s="29">
        <v>-240.86853716189512</v>
      </c>
      <c r="N105" s="29">
        <v>0</v>
      </c>
      <c r="O105" s="29">
        <v>-179.85291377377112</v>
      </c>
      <c r="P105" s="29">
        <v>180.25351152878642</v>
      </c>
      <c r="Q105" s="29">
        <v>0</v>
      </c>
      <c r="R105" s="29">
        <v>60.615025633108701</v>
      </c>
      <c r="S105" s="29">
        <v>0</v>
      </c>
      <c r="T105" s="29">
        <v>365.2853299353157</v>
      </c>
      <c r="U105" s="29">
        <v>-230.48026268515818</v>
      </c>
      <c r="V105" s="29">
        <v>0</v>
      </c>
      <c r="W105" s="29">
        <v>-345.28528492668437</v>
      </c>
      <c r="X105" s="29">
        <v>230.48026268515818</v>
      </c>
      <c r="Y105" s="29">
        <v>0</v>
      </c>
      <c r="Z105" s="29">
        <v>0</v>
      </c>
      <c r="AA105" s="29">
        <v>-20.000045008631332</v>
      </c>
    </row>
    <row r="106" spans="3:27" x14ac:dyDescent="0.25">
      <c r="C106" t="s">
        <v>12</v>
      </c>
      <c r="D106" s="29">
        <v>165</v>
      </c>
      <c r="E106" s="29">
        <v>-97.36782777807673</v>
      </c>
      <c r="F106" s="29">
        <v>11.124512785563526</v>
      </c>
      <c r="G106" s="29">
        <v>0</v>
      </c>
      <c r="H106" s="29">
        <v>86.243314992513206</v>
      </c>
      <c r="I106" s="29">
        <v>0</v>
      </c>
      <c r="J106" s="29">
        <v>0</v>
      </c>
      <c r="K106" s="29">
        <v>-165</v>
      </c>
      <c r="L106" s="29">
        <v>102.47325431900572</v>
      </c>
      <c r="M106" s="29">
        <v>-67.500941555281543</v>
      </c>
      <c r="N106" s="29">
        <v>0</v>
      </c>
      <c r="O106" s="29">
        <v>-102.47325431900572</v>
      </c>
      <c r="P106" s="29">
        <v>10.904128770826334</v>
      </c>
      <c r="Q106" s="29">
        <v>0</v>
      </c>
      <c r="R106" s="29">
        <v>56.59681278445521</v>
      </c>
      <c r="S106" s="29">
        <v>0</v>
      </c>
      <c r="T106" s="29">
        <v>291.11905841989028</v>
      </c>
      <c r="U106" s="29">
        <v>-260</v>
      </c>
      <c r="V106" s="29">
        <v>0</v>
      </c>
      <c r="W106" s="29">
        <v>-266.2287439685112</v>
      </c>
      <c r="X106" s="29">
        <v>260</v>
      </c>
      <c r="Y106" s="29">
        <v>0</v>
      </c>
      <c r="Z106" s="29">
        <v>0</v>
      </c>
      <c r="AA106" s="29">
        <v>-24.89031445137908</v>
      </c>
    </row>
    <row r="107" spans="3:27" x14ac:dyDescent="0.25">
      <c r="C107" t="s">
        <v>13</v>
      </c>
      <c r="D107" s="29">
        <v>165</v>
      </c>
      <c r="E107" s="29">
        <v>-98.706984818686308</v>
      </c>
      <c r="F107" s="29">
        <v>2.1483604954382258</v>
      </c>
      <c r="G107" s="29">
        <v>0</v>
      </c>
      <c r="H107" s="29">
        <v>96.558624323248083</v>
      </c>
      <c r="I107" s="29">
        <v>0</v>
      </c>
      <c r="J107" s="29">
        <v>0</v>
      </c>
      <c r="K107" s="29">
        <v>-165</v>
      </c>
      <c r="L107" s="29">
        <v>110.84025225820051</v>
      </c>
      <c r="M107" s="29">
        <v>-93.235247568245654</v>
      </c>
      <c r="N107" s="29">
        <v>0</v>
      </c>
      <c r="O107" s="29">
        <v>-110.84025225820051</v>
      </c>
      <c r="P107" s="29">
        <v>22.74499768038504</v>
      </c>
      <c r="Q107" s="29">
        <v>0</v>
      </c>
      <c r="R107" s="29">
        <v>70.490249887860614</v>
      </c>
      <c r="S107" s="29">
        <v>0</v>
      </c>
      <c r="T107" s="29">
        <v>296.3813147428927</v>
      </c>
      <c r="U107" s="29">
        <v>-260</v>
      </c>
      <c r="V107" s="29">
        <v>0</v>
      </c>
      <c r="W107" s="29">
        <v>-273.94711804419245</v>
      </c>
      <c r="X107" s="29">
        <v>260</v>
      </c>
      <c r="Y107" s="29">
        <v>0</v>
      </c>
      <c r="Z107" s="29">
        <v>0</v>
      </c>
      <c r="AA107" s="29">
        <v>-22.434196698700248</v>
      </c>
    </row>
    <row r="108" spans="3:27" x14ac:dyDescent="0.25">
      <c r="C108" t="s">
        <v>14</v>
      </c>
      <c r="D108" s="29">
        <v>165</v>
      </c>
      <c r="E108" s="29">
        <v>-94.072920665619989</v>
      </c>
      <c r="F108" s="29">
        <v>1.6760534193747962</v>
      </c>
      <c r="G108" s="29">
        <v>0</v>
      </c>
      <c r="H108" s="29">
        <v>92.396867246245193</v>
      </c>
      <c r="I108" s="29">
        <v>0</v>
      </c>
      <c r="J108" s="29">
        <v>0</v>
      </c>
      <c r="K108" s="29">
        <v>-165</v>
      </c>
      <c r="L108" s="29">
        <v>111.18180734178368</v>
      </c>
      <c r="M108" s="29">
        <v>-95.278223834325232</v>
      </c>
      <c r="N108" s="29">
        <v>0</v>
      </c>
      <c r="O108" s="29">
        <v>-111.18180734178368</v>
      </c>
      <c r="P108" s="29">
        <v>20.559522134857048</v>
      </c>
      <c r="Q108" s="29">
        <v>0</v>
      </c>
      <c r="R108" s="29">
        <v>74.718701699468184</v>
      </c>
      <c r="S108" s="29">
        <v>0</v>
      </c>
      <c r="T108" s="29">
        <v>296.08925667046822</v>
      </c>
      <c r="U108" s="29">
        <v>-260</v>
      </c>
      <c r="V108" s="29">
        <v>0</v>
      </c>
      <c r="W108" s="29">
        <v>-274.1972650538313</v>
      </c>
      <c r="X108" s="29">
        <v>260</v>
      </c>
      <c r="Y108" s="29">
        <v>0</v>
      </c>
      <c r="Z108" s="29">
        <v>0</v>
      </c>
      <c r="AA108" s="29">
        <v>-21.891991616636915</v>
      </c>
    </row>
    <row r="109" spans="3:27" x14ac:dyDescent="0.25">
      <c r="C109" t="s">
        <v>15</v>
      </c>
      <c r="D109" s="29">
        <v>146.36633153944132</v>
      </c>
      <c r="E109" s="29">
        <v>-118.71606227255876</v>
      </c>
      <c r="F109" s="29">
        <v>45.437776408802002</v>
      </c>
      <c r="G109" s="29">
        <v>0</v>
      </c>
      <c r="H109" s="29">
        <v>73.27828586375675</v>
      </c>
      <c r="I109" s="29">
        <v>0</v>
      </c>
      <c r="J109" s="29">
        <v>0</v>
      </c>
      <c r="K109" s="29">
        <v>-146.36633153944132</v>
      </c>
      <c r="L109" s="29">
        <v>130.95980842225316</v>
      </c>
      <c r="M109" s="29">
        <v>-2.9812281178900548</v>
      </c>
      <c r="N109" s="29">
        <v>0</v>
      </c>
      <c r="O109" s="29">
        <v>-44.958702626071741</v>
      </c>
      <c r="P109" s="29">
        <v>2.9812281178900548</v>
      </c>
      <c r="Q109" s="29">
        <v>0</v>
      </c>
      <c r="R109" s="29">
        <v>0</v>
      </c>
      <c r="S109" s="29">
        <v>-86.001105796181434</v>
      </c>
      <c r="T109" s="29">
        <v>202.38515165035594</v>
      </c>
      <c r="U109" s="29">
        <v>-212.62863028127572</v>
      </c>
      <c r="V109" s="29">
        <v>0</v>
      </c>
      <c r="W109" s="29">
        <v>-202.38515165035594</v>
      </c>
      <c r="X109" s="29">
        <v>147.39537246024031</v>
      </c>
      <c r="Y109" s="29">
        <v>0</v>
      </c>
      <c r="Z109" s="29">
        <v>65.233257821035409</v>
      </c>
      <c r="AA109" s="29">
        <v>0</v>
      </c>
    </row>
    <row r="110" spans="3:27" x14ac:dyDescent="0.25">
      <c r="C110" t="s">
        <v>16</v>
      </c>
      <c r="D110" s="29">
        <v>17.674550285532352</v>
      </c>
      <c r="E110" s="29">
        <v>-133.12581244076233</v>
      </c>
      <c r="F110" s="29">
        <v>0</v>
      </c>
      <c r="G110" s="29">
        <v>-17.674550285532352</v>
      </c>
      <c r="H110" s="29">
        <v>69.76725631381457</v>
      </c>
      <c r="I110" s="29">
        <v>0</v>
      </c>
      <c r="J110" s="29">
        <v>63.358556126947747</v>
      </c>
      <c r="K110" s="29">
        <v>0</v>
      </c>
      <c r="L110" s="29">
        <v>174.86683691046477</v>
      </c>
      <c r="M110" s="29">
        <v>-150.68816157953469</v>
      </c>
      <c r="N110" s="29">
        <v>0</v>
      </c>
      <c r="O110" s="29">
        <v>-174.86683691046477</v>
      </c>
      <c r="P110" s="29">
        <v>70.07891399197969</v>
      </c>
      <c r="Q110" s="29">
        <v>0</v>
      </c>
      <c r="R110" s="29">
        <v>80.609247587555004</v>
      </c>
      <c r="S110" s="29">
        <v>0</v>
      </c>
      <c r="T110" s="29">
        <v>219.87230701141877</v>
      </c>
      <c r="U110" s="29">
        <v>-13.73662601502258</v>
      </c>
      <c r="V110" s="29">
        <v>0</v>
      </c>
      <c r="W110" s="29">
        <v>-108.06962451534048</v>
      </c>
      <c r="X110" s="29">
        <v>0</v>
      </c>
      <c r="Y110" s="29">
        <v>-111.80268249607829</v>
      </c>
      <c r="Z110" s="29">
        <v>13.73662601502258</v>
      </c>
      <c r="AA110" s="29">
        <v>0</v>
      </c>
    </row>
    <row r="111" spans="3:27" x14ac:dyDescent="0.25">
      <c r="C111" t="s">
        <v>17</v>
      </c>
      <c r="D111" s="29">
        <v>116.43410894888186</v>
      </c>
      <c r="E111" s="29">
        <v>-165</v>
      </c>
      <c r="F111" s="29">
        <v>0</v>
      </c>
      <c r="G111" s="29">
        <v>-110.6914485641862</v>
      </c>
      <c r="H111" s="29">
        <v>0</v>
      </c>
      <c r="I111" s="29">
        <v>-5.7426603846956557</v>
      </c>
      <c r="J111" s="29">
        <v>165</v>
      </c>
      <c r="K111" s="29">
        <v>0</v>
      </c>
      <c r="L111" s="29">
        <v>331.26510242320973</v>
      </c>
      <c r="M111" s="29">
        <v>-165</v>
      </c>
      <c r="N111" s="29">
        <v>0</v>
      </c>
      <c r="O111" s="29">
        <v>-82.30290151323355</v>
      </c>
      <c r="P111" s="29">
        <v>0</v>
      </c>
      <c r="Q111" s="29">
        <v>-248.96220090997616</v>
      </c>
      <c r="R111" s="29">
        <v>165</v>
      </c>
      <c r="S111" s="29">
        <v>0</v>
      </c>
      <c r="T111" s="29">
        <v>208.32666360464432</v>
      </c>
      <c r="U111" s="29">
        <v>-153.76674972971045</v>
      </c>
      <c r="V111" s="29">
        <v>0</v>
      </c>
      <c r="W111" s="29">
        <v>-208.32666360464432</v>
      </c>
      <c r="X111" s="29">
        <v>2.3494384279181872</v>
      </c>
      <c r="Y111" s="29">
        <v>0</v>
      </c>
      <c r="Z111" s="29">
        <v>151.41731130179227</v>
      </c>
      <c r="AA111" s="29">
        <v>0</v>
      </c>
    </row>
    <row r="112" spans="3:27" x14ac:dyDescent="0.25">
      <c r="C112" t="s">
        <v>18</v>
      </c>
      <c r="D112" s="29">
        <v>114.11151484924221</v>
      </c>
      <c r="E112" s="29">
        <v>-165</v>
      </c>
      <c r="F112" s="29">
        <v>0</v>
      </c>
      <c r="G112" s="29">
        <v>-112.84114979453497</v>
      </c>
      <c r="H112" s="29">
        <v>0</v>
      </c>
      <c r="I112" s="29">
        <v>-1.2703650547072418</v>
      </c>
      <c r="J112" s="29">
        <v>165</v>
      </c>
      <c r="K112" s="29">
        <v>0</v>
      </c>
      <c r="L112" s="29">
        <v>309.68678954155422</v>
      </c>
      <c r="M112" s="29">
        <v>-165</v>
      </c>
      <c r="N112" s="29">
        <v>0</v>
      </c>
      <c r="O112" s="29">
        <v>-88.039155721438036</v>
      </c>
      <c r="P112" s="29">
        <v>0</v>
      </c>
      <c r="Q112" s="29">
        <v>-221.6476338201162</v>
      </c>
      <c r="R112" s="29">
        <v>165</v>
      </c>
      <c r="S112" s="29">
        <v>0</v>
      </c>
      <c r="T112" s="29">
        <v>214.83426408593564</v>
      </c>
      <c r="U112" s="29">
        <v>-167.10048511773735</v>
      </c>
      <c r="V112" s="29">
        <v>0</v>
      </c>
      <c r="W112" s="29">
        <v>-214.83426408593564</v>
      </c>
      <c r="X112" s="29">
        <v>29.172250427431038</v>
      </c>
      <c r="Y112" s="29">
        <v>0</v>
      </c>
      <c r="Z112" s="29">
        <v>137.92823469030631</v>
      </c>
      <c r="AA112" s="29">
        <v>0</v>
      </c>
    </row>
    <row r="113" spans="3:27" x14ac:dyDescent="0.25">
      <c r="C113" t="s">
        <v>19</v>
      </c>
      <c r="D113" s="29">
        <v>159.03803245378407</v>
      </c>
      <c r="E113" s="29">
        <v>-261.83383050911846</v>
      </c>
      <c r="F113" s="29">
        <v>0</v>
      </c>
      <c r="G113" s="29">
        <v>-159.03803245378407</v>
      </c>
      <c r="H113" s="29">
        <v>175.4800187320138</v>
      </c>
      <c r="I113" s="29">
        <v>0</v>
      </c>
      <c r="J113" s="29">
        <v>86.353811777104653</v>
      </c>
      <c r="K113" s="29">
        <v>0</v>
      </c>
      <c r="L113" s="29">
        <v>164.41967991025911</v>
      </c>
      <c r="M113" s="29">
        <v>-128.63385689185932</v>
      </c>
      <c r="N113" s="29">
        <v>0</v>
      </c>
      <c r="O113" s="29">
        <v>-164.41967991025911</v>
      </c>
      <c r="P113" s="29">
        <v>23.87944737125957</v>
      </c>
      <c r="Q113" s="29">
        <v>0</v>
      </c>
      <c r="R113" s="29">
        <v>104.75440952059975</v>
      </c>
      <c r="S113" s="29">
        <v>0</v>
      </c>
      <c r="T113" s="29">
        <v>88.251801328151998</v>
      </c>
      <c r="U113" s="29">
        <v>-111.15313176806978</v>
      </c>
      <c r="V113" s="29">
        <v>0</v>
      </c>
      <c r="W113" s="29">
        <v>-88.251801328151998</v>
      </c>
      <c r="X113" s="29">
        <v>90.965314482953886</v>
      </c>
      <c r="Y113" s="29">
        <v>0</v>
      </c>
      <c r="Z113" s="29">
        <v>20.187817285115898</v>
      </c>
      <c r="AA113" s="29">
        <v>0</v>
      </c>
    </row>
    <row r="114" spans="3:27" x14ac:dyDescent="0.25">
      <c r="C114" t="s">
        <v>20</v>
      </c>
      <c r="D114" s="29">
        <v>156.34473362162532</v>
      </c>
      <c r="E114" s="29">
        <v>-116.11324472707497</v>
      </c>
      <c r="F114" s="29">
        <v>0</v>
      </c>
      <c r="G114" s="29">
        <v>-43.64814119180636</v>
      </c>
      <c r="H114" s="29">
        <v>116.11324472707497</v>
      </c>
      <c r="I114" s="29">
        <v>0</v>
      </c>
      <c r="J114" s="29">
        <v>0</v>
      </c>
      <c r="K114" s="29">
        <v>-112.69659242981898</v>
      </c>
      <c r="L114" s="29">
        <v>243.40207487919963</v>
      </c>
      <c r="M114" s="29">
        <v>-114.45130710112164</v>
      </c>
      <c r="N114" s="29">
        <v>0</v>
      </c>
      <c r="O114" s="29">
        <v>-115.76043424401007</v>
      </c>
      <c r="P114" s="29">
        <v>114.45130710112164</v>
      </c>
      <c r="Q114" s="29">
        <v>0</v>
      </c>
      <c r="R114" s="29">
        <v>0</v>
      </c>
      <c r="S114" s="29">
        <v>-127.64164063518956</v>
      </c>
      <c r="T114" s="29">
        <v>336.39668735039481</v>
      </c>
      <c r="U114" s="29">
        <v>-209.78349909187287</v>
      </c>
      <c r="V114" s="29">
        <v>0</v>
      </c>
      <c r="W114" s="29">
        <v>-171.39668735039479</v>
      </c>
      <c r="X114" s="29">
        <v>209.78349909187287</v>
      </c>
      <c r="Y114" s="29">
        <v>0</v>
      </c>
      <c r="Z114" s="29">
        <v>0</v>
      </c>
      <c r="AA114" s="29">
        <v>-165</v>
      </c>
    </row>
    <row r="115" spans="3:27" x14ac:dyDescent="0.25">
      <c r="C115" t="s">
        <v>21</v>
      </c>
      <c r="D115" s="29">
        <v>165</v>
      </c>
      <c r="E115" s="29">
        <v>-75.833504721449458</v>
      </c>
      <c r="F115" s="29">
        <v>21.310565621923388</v>
      </c>
      <c r="G115" s="29">
        <v>0</v>
      </c>
      <c r="H115" s="29">
        <v>54.52293909952607</v>
      </c>
      <c r="I115" s="29">
        <v>0</v>
      </c>
      <c r="J115" s="29">
        <v>0</v>
      </c>
      <c r="K115" s="29">
        <v>-165</v>
      </c>
      <c r="L115" s="29">
        <v>145.54525154639356</v>
      </c>
      <c r="M115" s="29">
        <v>0</v>
      </c>
      <c r="N115" s="29">
        <v>0</v>
      </c>
      <c r="O115" s="29">
        <v>-82.500256906666138</v>
      </c>
      <c r="P115" s="29">
        <v>0</v>
      </c>
      <c r="Q115" s="29">
        <v>-1.4498175163913629</v>
      </c>
      <c r="R115" s="29">
        <v>0</v>
      </c>
      <c r="S115" s="29">
        <v>-61.595177123336043</v>
      </c>
      <c r="T115" s="29">
        <v>269.80683095445755</v>
      </c>
      <c r="U115" s="29">
        <v>-211.01279103353696</v>
      </c>
      <c r="V115" s="29">
        <v>0</v>
      </c>
      <c r="W115" s="29">
        <v>-240.25062383698423</v>
      </c>
      <c r="X115" s="29">
        <v>211.01279103353696</v>
      </c>
      <c r="Y115" s="29">
        <v>0</v>
      </c>
      <c r="Z115" s="29">
        <v>0</v>
      </c>
      <c r="AA115" s="29">
        <v>-29.556207117473321</v>
      </c>
    </row>
    <row r="116" spans="3:27" x14ac:dyDescent="0.25">
      <c r="C116" t="s">
        <v>22</v>
      </c>
      <c r="D116" s="29">
        <v>165</v>
      </c>
      <c r="E116" s="29">
        <v>-43.147396052012027</v>
      </c>
      <c r="F116" s="29">
        <v>14.499491330852948</v>
      </c>
      <c r="G116" s="29">
        <v>0</v>
      </c>
      <c r="H116" s="29">
        <v>28.64790472115908</v>
      </c>
      <c r="I116" s="29">
        <v>0</v>
      </c>
      <c r="J116" s="29">
        <v>0</v>
      </c>
      <c r="K116" s="29">
        <v>-165</v>
      </c>
      <c r="L116" s="29">
        <v>155.60511315514935</v>
      </c>
      <c r="M116" s="29">
        <v>0</v>
      </c>
      <c r="N116" s="29">
        <v>0</v>
      </c>
      <c r="O116" s="29">
        <v>-90.631821405195865</v>
      </c>
      <c r="P116" s="29">
        <v>0</v>
      </c>
      <c r="Q116" s="29">
        <v>-37.508664791816955</v>
      </c>
      <c r="R116" s="29">
        <v>0</v>
      </c>
      <c r="S116" s="29">
        <v>-27.464626958136535</v>
      </c>
      <c r="T116" s="29">
        <v>285.59506912888867</v>
      </c>
      <c r="U116" s="29">
        <v>-197.80304794290922</v>
      </c>
      <c r="V116" s="29">
        <v>0</v>
      </c>
      <c r="W116" s="29">
        <v>-249.27306487749198</v>
      </c>
      <c r="X116" s="29">
        <v>197.80304794290922</v>
      </c>
      <c r="Y116" s="29">
        <v>0</v>
      </c>
      <c r="Z116" s="29">
        <v>0</v>
      </c>
      <c r="AA116" s="29">
        <v>-36.322004251396663</v>
      </c>
    </row>
    <row r="117" spans="3:27" x14ac:dyDescent="0.25">
      <c r="C117" t="s">
        <v>23</v>
      </c>
      <c r="D117" s="29">
        <v>165</v>
      </c>
      <c r="E117" s="29">
        <v>-67.298841521680572</v>
      </c>
      <c r="F117" s="29">
        <v>32.957582377888741</v>
      </c>
      <c r="G117" s="29">
        <v>0</v>
      </c>
      <c r="H117" s="29">
        <v>34.341259143791831</v>
      </c>
      <c r="I117" s="29">
        <v>0</v>
      </c>
      <c r="J117" s="29">
        <v>0</v>
      </c>
      <c r="K117" s="29">
        <v>-165</v>
      </c>
      <c r="L117" s="29">
        <v>116.6717741224636</v>
      </c>
      <c r="M117" s="29">
        <v>-33.111161700893376</v>
      </c>
      <c r="N117" s="29">
        <v>0</v>
      </c>
      <c r="O117" s="29">
        <v>-78.683029074786873</v>
      </c>
      <c r="P117" s="29">
        <v>0</v>
      </c>
      <c r="Q117" s="29">
        <v>-37.988745047676737</v>
      </c>
      <c r="R117" s="29">
        <v>33.111161700893376</v>
      </c>
      <c r="S117" s="29">
        <v>0</v>
      </c>
      <c r="T117" s="29">
        <v>275.43735827697799</v>
      </c>
      <c r="U117" s="29">
        <v>-229.76765699432835</v>
      </c>
      <c r="V117" s="29">
        <v>0</v>
      </c>
      <c r="W117" s="29">
        <v>-244.15150876350953</v>
      </c>
      <c r="X117" s="29">
        <v>229.76765699432835</v>
      </c>
      <c r="Y117" s="29">
        <v>0</v>
      </c>
      <c r="Z117" s="29">
        <v>0</v>
      </c>
      <c r="AA117" s="29">
        <v>-31.285849513468463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ALT GD CMANEJO</vt:lpstr>
      <vt:lpstr>ALT</vt:lpstr>
      <vt:lpstr>ALT GD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Emilio</dc:creator>
  <cp:lastModifiedBy>Emilio</cp:lastModifiedBy>
  <dcterms:created xsi:type="dcterms:W3CDTF">2026-03-16T14:11:28Z</dcterms:created>
  <dcterms:modified xsi:type="dcterms:W3CDTF">2026-03-17T18:33:15Z</dcterms:modified>
</cp:coreProperties>
</file>