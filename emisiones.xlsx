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<sst xmlns="http://schemas.openxmlformats.org/spreadsheetml/2006/main" count="19" uniqueCount="14">
  <si>
    <t xml:space="preserve"> Direct (At Point of Emissions)</t>
  </si>
  <si>
    <t xml:space="preserve">Scenario: Tendencial Generacion Distribuida No Comparison, All Regions, All Fuels, Effect: Carbon Dioxide</t>
  </si>
  <si>
    <t xml:space="preserve">Branch: Transformation\Centrales Eléctricas\Processes</t>
  </si>
  <si>
    <t xml:space="preserve">Units: Thousand Metric Tonnes CO2 Equivalent</t>
  </si>
  <si>
    <t xml:space="preserve">Branch</t>
  </si>
  <si>
    <t xml:space="preserve">Total</t>
  </si>
  <si>
    <t xml:space="preserve">TG_ex</t>
  </si>
  <si>
    <t xml:space="preserve">TG_nv</t>
  </si>
  <si>
    <t xml:space="preserve">Motor Dual_ex</t>
  </si>
  <si>
    <t xml:space="preserve">CC_ex</t>
  </si>
  <si>
    <t xml:space="preserve">año</t>
  </si>
  <si>
    <t xml:space="preserve">TG</t>
  </si>
  <si>
    <t xml:space="preserve">Motor</t>
  </si>
  <si>
    <t xml:space="preserve">CC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</si>
</sst>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 * #,##0.00\ ;\-* #,##0.00\ ;\ * \-#\ ;\ @\ "/>
    <numFmt numFmtId="166" formatCode="\ * #,##0.000\ ;\ * \-#,##0.000\ ;\ * \-#\ ;\ @\ 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E2EDFA"/>
      </patternFill>
    </fill>
    <fill>
      <patternFill patternType="solid">
        <fgColor rgb="FFE2EDFA"/>
        <bgColor rgb="FFDCDCDC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AU7" activePane="bottomRight" state="frozen"/>
      <selection pane="topLeft" activeCell="A1" activeCellId="0" sqref="A1"/>
      <selection pane="topRight" activeCell="AU1" activeCellId="0" sqref="AU1"/>
      <selection pane="bottomLeft" activeCell="A7" activeCellId="0" sqref="A7"/>
      <selection pane="bottomRight" activeCell="X12" activeCellId="0" sqref="X12"/>
    </sheetView>
  </sheetViews>
  <sheetFormatPr defaultColWidth="10.6875" defaultRowHeight="13.8" zeroHeight="false" outlineLevelRow="0" outlineLevelCol="0"/>
  <cols>
    <col collapsed="false" customWidth="true" hidden="false" outlineLevel="0" max="1" min="1" style="0" width="96.42"/>
    <col collapsed="false" customWidth="true" hidden="false" outlineLevel="0" max="24" min="2" style="0" width="5.01"/>
    <col collapsed="false" customWidth="true" hidden="false" outlineLevel="0" max="25" min="25" style="0" width="7.15"/>
    <col collapsed="false" customWidth="true" hidden="false" outlineLevel="0" max="31" min="26" style="0" width="8.14"/>
    <col collapsed="false" customWidth="true" hidden="false" outlineLevel="0" max="52" min="32" style="0" width="9.14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1"/>
    </row>
    <row r="6" customFormat="false" ht="13.8" hidden="false" customHeight="false" outlineLevel="0" collapsed="false">
      <c r="A6" s="2" t="s">
        <v>4</v>
      </c>
      <c r="B6" s="2" t="n">
        <v>2000</v>
      </c>
      <c r="C6" s="2" t="n">
        <v>2001</v>
      </c>
      <c r="D6" s="2" t="n">
        <v>2002</v>
      </c>
      <c r="E6" s="2" t="n">
        <v>2003</v>
      </c>
      <c r="F6" s="2" t="n">
        <v>2004</v>
      </c>
      <c r="G6" s="2" t="n">
        <v>2005</v>
      </c>
      <c r="H6" s="2" t="n">
        <v>2006</v>
      </c>
      <c r="I6" s="2" t="n">
        <v>2007</v>
      </c>
      <c r="J6" s="2" t="n">
        <v>2008</v>
      </c>
      <c r="K6" s="2" t="n">
        <v>2009</v>
      </c>
      <c r="L6" s="2" t="n">
        <v>2010</v>
      </c>
      <c r="M6" s="2" t="n">
        <v>2011</v>
      </c>
      <c r="N6" s="2" t="n">
        <v>2012</v>
      </c>
      <c r="O6" s="2" t="n">
        <v>2013</v>
      </c>
      <c r="P6" s="2" t="n">
        <v>2014</v>
      </c>
      <c r="Q6" s="2" t="n">
        <v>2015</v>
      </c>
      <c r="R6" s="2" t="n">
        <v>2016</v>
      </c>
      <c r="S6" s="2" t="n">
        <v>2017</v>
      </c>
      <c r="T6" s="2" t="n">
        <v>2018</v>
      </c>
      <c r="U6" s="2" t="n">
        <v>2019</v>
      </c>
      <c r="V6" s="2" t="n">
        <v>2020</v>
      </c>
      <c r="W6" s="2" t="n">
        <v>2021</v>
      </c>
      <c r="X6" s="2" t="n">
        <v>2022</v>
      </c>
      <c r="Y6" s="2" t="n">
        <v>2023</v>
      </c>
      <c r="Z6" s="2" t="n">
        <v>2024</v>
      </c>
      <c r="AA6" s="2" t="n">
        <v>2025</v>
      </c>
      <c r="AB6" s="2" t="n">
        <v>2026</v>
      </c>
      <c r="AC6" s="2" t="n">
        <v>2027</v>
      </c>
      <c r="AD6" s="2" t="n">
        <v>2028</v>
      </c>
      <c r="AE6" s="2" t="n">
        <v>2029</v>
      </c>
      <c r="AF6" s="2" t="n">
        <v>2030</v>
      </c>
      <c r="AG6" s="2" t="n">
        <v>2031</v>
      </c>
      <c r="AH6" s="2" t="n">
        <v>2032</v>
      </c>
      <c r="AI6" s="2" t="n">
        <v>2033</v>
      </c>
      <c r="AJ6" s="2" t="n">
        <v>2034</v>
      </c>
      <c r="AK6" s="2" t="n">
        <v>2035</v>
      </c>
      <c r="AL6" s="2" t="n">
        <v>2036</v>
      </c>
      <c r="AM6" s="2" t="n">
        <v>2037</v>
      </c>
      <c r="AN6" s="2" t="n">
        <v>2038</v>
      </c>
      <c r="AO6" s="2" t="n">
        <v>2039</v>
      </c>
      <c r="AP6" s="2" t="n">
        <v>2040</v>
      </c>
      <c r="AQ6" s="2" t="n">
        <v>2041</v>
      </c>
      <c r="AR6" s="2" t="n">
        <v>2042</v>
      </c>
      <c r="AS6" s="2" t="n">
        <v>2043</v>
      </c>
      <c r="AT6" s="2" t="n">
        <v>2044</v>
      </c>
      <c r="AU6" s="2" t="n">
        <v>2045</v>
      </c>
      <c r="AV6" s="2" t="n">
        <v>2046</v>
      </c>
      <c r="AW6" s="2" t="n">
        <v>2047</v>
      </c>
      <c r="AX6" s="2" t="n">
        <v>2048</v>
      </c>
      <c r="AY6" s="2" t="n">
        <v>2049</v>
      </c>
      <c r="AZ6" s="2" t="n">
        <v>2050</v>
      </c>
      <c r="BA6" s="2" t="s">
        <v>5</v>
      </c>
    </row>
    <row r="7" customFormat="false" ht="13.8" hidden="false" customHeight="false" outlineLevel="0" collapsed="false">
      <c r="A7" s="0" t="s">
        <v>6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4" t="n">
        <v>-0.767329057943676</v>
      </c>
      <c r="Z7" s="4" t="n">
        <v>-1.89535505574404</v>
      </c>
      <c r="AA7" s="4" t="n">
        <v>-4.20737910456955E-006</v>
      </c>
      <c r="AB7" s="4" t="n">
        <v>-5.28181725032628E-005</v>
      </c>
      <c r="AC7" s="4" t="n">
        <v>0</v>
      </c>
      <c r="AD7" s="4" t="n">
        <v>-0.000185714207073674</v>
      </c>
      <c r="AE7" s="4" t="n">
        <v>-0.00026402808339335</v>
      </c>
      <c r="AF7" s="4" t="n">
        <v>-0.000346720472926274</v>
      </c>
      <c r="AG7" s="4" t="n">
        <v>-0.000431478969158605</v>
      </c>
      <c r="AH7" s="4" t="n">
        <v>-0.000488178305145353</v>
      </c>
      <c r="AI7" s="4" t="n">
        <v>-0.000655455549165607</v>
      </c>
      <c r="AJ7" s="4" t="n">
        <v>-0.000735231029875577</v>
      </c>
      <c r="AK7" s="4" t="n">
        <v>-0.00081051609473303</v>
      </c>
      <c r="AL7" s="4" t="n">
        <v>-0.000880344889171422</v>
      </c>
      <c r="AM7" s="4" t="n">
        <v>-0.001639229364987</v>
      </c>
      <c r="AN7" s="4" t="n">
        <v>-9.19671723712635</v>
      </c>
      <c r="AO7" s="4" t="n">
        <v>-25.1814795893959</v>
      </c>
      <c r="AP7" s="4" t="n">
        <v>-48.7644252414488</v>
      </c>
      <c r="AQ7" s="4" t="n">
        <v>-77.4992568897492</v>
      </c>
      <c r="AR7" s="4" t="n">
        <v>-127.058584143698</v>
      </c>
      <c r="AS7" s="4" t="n">
        <v>-178.036166986293</v>
      </c>
      <c r="AT7" s="4" t="n">
        <v>-225.248560364547</v>
      </c>
      <c r="AU7" s="4" t="n">
        <v>-252.188813181186</v>
      </c>
      <c r="AV7" s="4" t="n">
        <v>-252.64727714503</v>
      </c>
      <c r="AW7" s="4" t="n">
        <v>-255.877507780494</v>
      </c>
      <c r="AX7" s="4" t="n">
        <v>-267.433025382471</v>
      </c>
      <c r="AY7" s="4" t="n">
        <v>-221.767942657034</v>
      </c>
      <c r="AZ7" s="4" t="n">
        <v>-273.298186044635</v>
      </c>
      <c r="BA7" s="4" t="n">
        <v>-2216.86712067931</v>
      </c>
    </row>
    <row r="8" customFormat="false" ht="13.8" hidden="false" customHeight="false" outlineLevel="0" collapsed="false">
      <c r="A8" s="0" t="s">
        <v>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-15.2043445490453</v>
      </c>
      <c r="AV8" s="4" t="n">
        <v>-51.7948954416727</v>
      </c>
      <c r="AW8" s="4" t="n">
        <v>-87.1527622806359</v>
      </c>
      <c r="AX8" s="4" t="n">
        <v>-87.3073724051639</v>
      </c>
      <c r="AY8" s="4" t="n">
        <v>-188.292112209005</v>
      </c>
      <c r="AZ8" s="4" t="n">
        <v>-159.711643975377</v>
      </c>
      <c r="BA8" s="4" t="n">
        <v>-589.4631308609</v>
      </c>
    </row>
    <row r="9" customFormat="false" ht="13.8" hidden="false" customHeight="false" outlineLevel="0" collapsed="false">
      <c r="A9" s="0" t="s">
        <v>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4" t="n">
        <v>-0.108144665765777</v>
      </c>
      <c r="Z9" s="4" t="n">
        <v>-0.192542389735408</v>
      </c>
      <c r="AA9" s="4" t="n">
        <v>-1.22936366561436</v>
      </c>
      <c r="AB9" s="4" t="n">
        <v>-0.747226907714665</v>
      </c>
      <c r="AC9" s="4" t="n">
        <v>-1.16918568758704</v>
      </c>
      <c r="AD9" s="4" t="n">
        <v>-1.65841430146556</v>
      </c>
      <c r="AE9" s="4" t="n">
        <v>-2.19536498654542</v>
      </c>
      <c r="AF9" s="4" t="n">
        <v>-2.76233647772701</v>
      </c>
      <c r="AG9" s="4" t="n">
        <v>-3.34347400761658</v>
      </c>
      <c r="AH9" s="4" t="n">
        <v>-3.92476930652559</v>
      </c>
      <c r="AI9" s="4" t="n">
        <v>-9.2100399521562</v>
      </c>
      <c r="AJ9" s="4" t="n">
        <v>-13.6623830701372</v>
      </c>
      <c r="AK9" s="4" t="n">
        <v>-9.68259350676109</v>
      </c>
      <c r="AL9" s="4" t="n">
        <v>-6.03599021827974</v>
      </c>
      <c r="AM9" s="4" t="n">
        <v>-6.47487950571556</v>
      </c>
      <c r="AN9" s="4" t="n">
        <v>-15.3606369841992</v>
      </c>
      <c r="AO9" s="4" t="n">
        <v>-21.804607950747</v>
      </c>
      <c r="AP9" s="4" t="n">
        <v>-17.382464881996</v>
      </c>
      <c r="AQ9" s="4" t="n">
        <v>-24.8255900727615</v>
      </c>
      <c r="AR9" s="4" t="n">
        <v>-37.1100338797519</v>
      </c>
      <c r="AS9" s="4" t="n">
        <v>-43.560358621795</v>
      </c>
      <c r="AT9" s="4" t="n">
        <v>-50.6318962093794</v>
      </c>
      <c r="AU9" s="4" t="n">
        <v>-37.8917188823292</v>
      </c>
      <c r="AV9" s="4" t="n">
        <v>-38.001798376549</v>
      </c>
      <c r="AW9" s="4" t="n">
        <v>-38.1600862878683</v>
      </c>
      <c r="AX9" s="4" t="n">
        <v>-36.2201164666569</v>
      </c>
      <c r="AY9" s="4" t="n">
        <v>-36.2966984987819</v>
      </c>
      <c r="AZ9" s="4" t="n">
        <v>-47.4041671407636</v>
      </c>
      <c r="BA9" s="4" t="n">
        <v>-507.046882902926</v>
      </c>
    </row>
    <row r="10" customFormat="false" ht="13.8" hidden="false" customHeight="false" outlineLevel="0" collapsed="false">
      <c r="A10" s="0" t="s">
        <v>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4" t="n">
        <v>-6.35473902653253</v>
      </c>
      <c r="Z10" s="4" t="n">
        <v>-11.3141107282311</v>
      </c>
      <c r="AA10" s="4" t="n">
        <v>-14.6704008905723</v>
      </c>
      <c r="AB10" s="4" t="n">
        <v>-26.330164572891</v>
      </c>
      <c r="AC10" s="4" t="n">
        <v>-41.6041008944185</v>
      </c>
      <c r="AD10" s="4" t="n">
        <v>-59.0127297526077</v>
      </c>
      <c r="AE10" s="4" t="n">
        <v>-78.1194750030457</v>
      </c>
      <c r="AF10" s="4" t="n">
        <v>-98.2944745836099</v>
      </c>
      <c r="AG10" s="4" t="n">
        <v>-118.973555638173</v>
      </c>
      <c r="AH10" s="4" t="n">
        <v>-139.563028501536</v>
      </c>
      <c r="AI10" s="4" t="n">
        <v>-159.232767395219</v>
      </c>
      <c r="AJ10" s="4" t="n">
        <v>-179.493300797833</v>
      </c>
      <c r="AK10" s="4" t="n">
        <v>-201.071798222988</v>
      </c>
      <c r="AL10" s="4" t="n">
        <v>-214.289908274615</v>
      </c>
      <c r="AM10" s="4" t="n">
        <v>-220.333748624574</v>
      </c>
      <c r="AN10" s="4" t="n">
        <v>-223.54402250193</v>
      </c>
      <c r="AO10" s="4" t="n">
        <v>-222.108007140967</v>
      </c>
      <c r="AP10" s="4" t="n">
        <v>-214.541742572523</v>
      </c>
      <c r="AQ10" s="4" t="n">
        <v>-198.888109510668</v>
      </c>
      <c r="AR10" s="4" t="n">
        <v>-188.836454345604</v>
      </c>
      <c r="AS10" s="4" t="n">
        <v>-186.874187379051</v>
      </c>
      <c r="AT10" s="4" t="n">
        <v>-189.391269873809</v>
      </c>
      <c r="AU10" s="4" t="n">
        <v>-195.525319137845</v>
      </c>
      <c r="AV10" s="4" t="n">
        <v>-196.204751368544</v>
      </c>
      <c r="AW10" s="4" t="n">
        <v>-200.773000486203</v>
      </c>
      <c r="AX10" s="4" t="n">
        <v>-252.020457742368</v>
      </c>
      <c r="AY10" s="4" t="n">
        <v>-272.151402093188</v>
      </c>
      <c r="AZ10" s="4" t="n">
        <v>-303.567035915083</v>
      </c>
      <c r="BA10" s="4" t="n">
        <v>-4413.08406297463</v>
      </c>
    </row>
    <row r="11" customFormat="false" ht="13.8" hidden="false" customHeight="false" outlineLevel="0" collapsed="false">
      <c r="A11" s="2" t="s">
        <v>5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-7.23021275024199</v>
      </c>
      <c r="Z11" s="5" t="n">
        <v>-13.4020081737106</v>
      </c>
      <c r="AA11" s="5" t="n">
        <v>-15.8997687635658</v>
      </c>
      <c r="AB11" s="5" t="n">
        <v>-27.0774442987782</v>
      </c>
      <c r="AC11" s="5" t="n">
        <v>-42.7732865820056</v>
      </c>
      <c r="AD11" s="5" t="n">
        <v>-60.6713297682803</v>
      </c>
      <c r="AE11" s="5" t="n">
        <v>-80.3151040176746</v>
      </c>
      <c r="AF11" s="5" t="n">
        <v>-101.05715778181</v>
      </c>
      <c r="AG11" s="5" t="n">
        <v>-122.317461124759</v>
      </c>
      <c r="AH11" s="5" t="n">
        <v>-143.488285986366</v>
      </c>
      <c r="AI11" s="5" t="n">
        <v>-168.443462802925</v>
      </c>
      <c r="AJ11" s="5" t="n">
        <v>-193.156419099</v>
      </c>
      <c r="AK11" s="5" t="n">
        <v>-210.755202245844</v>
      </c>
      <c r="AL11" s="5" t="n">
        <v>-220.326778837784</v>
      </c>
      <c r="AM11" s="5" t="n">
        <v>-226.810267359654</v>
      </c>
      <c r="AN11" s="5" t="n">
        <v>-248.101376723255</v>
      </c>
      <c r="AO11" s="5" t="n">
        <v>-269.09409468111</v>
      </c>
      <c r="AP11" s="5" t="n">
        <v>-280.688632695968</v>
      </c>
      <c r="AQ11" s="5" t="n">
        <v>-301.212956473179</v>
      </c>
      <c r="AR11" s="5" t="n">
        <v>-353.005072369054</v>
      </c>
      <c r="AS11" s="5" t="n">
        <v>-408.470712987139</v>
      </c>
      <c r="AT11" s="5" t="n">
        <v>-465.271726447736</v>
      </c>
      <c r="AU11" s="5" t="n">
        <v>-500.810195750405</v>
      </c>
      <c r="AV11" s="5" t="n">
        <v>-538.648722331796</v>
      </c>
      <c r="AW11" s="5" t="n">
        <v>-581.963356835201</v>
      </c>
      <c r="AX11" s="5" t="n">
        <v>-642.980971996659</v>
      </c>
      <c r="AY11" s="5" t="n">
        <v>-718.508155458009</v>
      </c>
      <c r="AZ11" s="5" t="n">
        <v>-783.981033075858</v>
      </c>
      <c r="BA11" s="5" t="n">
        <v>-7726.46119741777</v>
      </c>
    </row>
    <row r="12" customFormat="false" ht="13.8" hidden="false" customHeight="false" outlineLevel="0" collapsed="false">
      <c r="A12" s="2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 t="s">
        <v>10</v>
      </c>
      <c r="Y12" s="2" t="n">
        <v>2023</v>
      </c>
      <c r="Z12" s="2" t="n">
        <v>2024</v>
      </c>
      <c r="AA12" s="2" t="n">
        <v>2025</v>
      </c>
      <c r="AB12" s="2" t="n">
        <v>2026</v>
      </c>
      <c r="AC12" s="2" t="n">
        <v>2027</v>
      </c>
      <c r="AD12" s="2" t="n">
        <v>2028</v>
      </c>
      <c r="AE12" s="2" t="n">
        <v>2029</v>
      </c>
      <c r="AF12" s="2" t="n">
        <v>2030</v>
      </c>
      <c r="AG12" s="2" t="n">
        <v>2031</v>
      </c>
      <c r="AH12" s="2" t="n">
        <v>2032</v>
      </c>
      <c r="AI12" s="2" t="n">
        <v>2033</v>
      </c>
      <c r="AJ12" s="2" t="n">
        <v>2034</v>
      </c>
      <c r="AK12" s="2" t="n">
        <v>2035</v>
      </c>
      <c r="AL12" s="2" t="n">
        <v>2036</v>
      </c>
      <c r="AM12" s="2" t="n">
        <v>2037</v>
      </c>
      <c r="AN12" s="2" t="n">
        <v>2038</v>
      </c>
      <c r="AO12" s="2" t="n">
        <v>2039</v>
      </c>
      <c r="AP12" s="2" t="n">
        <v>2040</v>
      </c>
      <c r="AQ12" s="2" t="n">
        <v>2041</v>
      </c>
      <c r="AR12" s="2" t="n">
        <v>2042</v>
      </c>
      <c r="AS12" s="2" t="n">
        <v>2043</v>
      </c>
      <c r="AT12" s="2" t="n">
        <v>2044</v>
      </c>
      <c r="AU12" s="2" t="n">
        <v>2045</v>
      </c>
      <c r="AV12" s="2" t="n">
        <v>2046</v>
      </c>
      <c r="AW12" s="2" t="n">
        <v>2047</v>
      </c>
      <c r="AX12" s="2" t="n">
        <v>2048</v>
      </c>
      <c r="AY12" s="2" t="n">
        <v>2049</v>
      </c>
      <c r="AZ12" s="2" t="n">
        <v>2050</v>
      </c>
      <c r="BA12" s="5"/>
    </row>
    <row r="13" customFormat="false" ht="13.8" hidden="false" customHeight="false" outlineLevel="0" collapsed="false">
      <c r="X13" s="0" t="s">
        <v>11</v>
      </c>
      <c r="Y13" s="0" t="n">
        <f aca="false">SUM(Y7:Y8)</f>
        <v>-0.767329057943676</v>
      </c>
      <c r="Z13" s="0" t="n">
        <f aca="false">SUM(Z7:Z8)</f>
        <v>-1.89535505574404</v>
      </c>
      <c r="AA13" s="0" t="n">
        <f aca="false">SUM(AA7:AA8)</f>
        <v>-4.20737910456955E-006</v>
      </c>
      <c r="AB13" s="0" t="n">
        <f aca="false">SUM(AB7:AB8)</f>
        <v>-5.28181725032628E-005</v>
      </c>
      <c r="AC13" s="0" t="n">
        <f aca="false">SUM(AC7:AC8)</f>
        <v>0</v>
      </c>
      <c r="AD13" s="0" t="n">
        <f aca="false">SUM(AD7:AD8)</f>
        <v>-0.000185714207073674</v>
      </c>
      <c r="AE13" s="0" t="n">
        <f aca="false">SUM(AE7:AE8)</f>
        <v>-0.00026402808339335</v>
      </c>
      <c r="AF13" s="0" t="n">
        <f aca="false">SUM(AF7:AF8)</f>
        <v>-0.000346720472926274</v>
      </c>
      <c r="AG13" s="0" t="n">
        <f aca="false">SUM(AG7:AG8)</f>
        <v>-0.000431478969158605</v>
      </c>
      <c r="AH13" s="0" t="n">
        <f aca="false">SUM(AH7:AH8)</f>
        <v>-0.000488178305145353</v>
      </c>
      <c r="AI13" s="0" t="n">
        <f aca="false">SUM(AI7:AI8)</f>
        <v>-0.000655455549165607</v>
      </c>
      <c r="AJ13" s="0" t="n">
        <f aca="false">SUM(AJ7:AJ8)</f>
        <v>-0.000735231029875577</v>
      </c>
      <c r="AK13" s="0" t="n">
        <f aca="false">SUM(AK7:AK8)</f>
        <v>-0.00081051609473303</v>
      </c>
      <c r="AL13" s="0" t="n">
        <f aca="false">SUM(AL7:AL8)</f>
        <v>-0.000880344889171422</v>
      </c>
      <c r="AM13" s="0" t="n">
        <f aca="false">SUM(AM7:AM8)</f>
        <v>-0.001639229364987</v>
      </c>
      <c r="AN13" s="0" t="n">
        <f aca="false">SUM(AN7:AN8)</f>
        <v>-9.19671723712635</v>
      </c>
      <c r="AO13" s="0" t="n">
        <f aca="false">SUM(AO7:AO8)</f>
        <v>-25.1814795893959</v>
      </c>
      <c r="AP13" s="0" t="n">
        <f aca="false">SUM(AP7:AP8)</f>
        <v>-48.7644252414488</v>
      </c>
      <c r="AQ13" s="0" t="n">
        <f aca="false">SUM(AQ7:AQ8)</f>
        <v>-77.4992568897492</v>
      </c>
      <c r="AR13" s="0" t="n">
        <f aca="false">SUM(AR7:AR8)</f>
        <v>-127.058584143698</v>
      </c>
      <c r="AS13" s="0" t="n">
        <f aca="false">SUM(AS7:AS8)</f>
        <v>-178.036166986293</v>
      </c>
      <c r="AT13" s="0" t="n">
        <f aca="false">SUM(AT7:AT8)</f>
        <v>-225.248560364547</v>
      </c>
      <c r="AU13" s="0" t="n">
        <f aca="false">SUM(AU7:AU8)</f>
        <v>-267.393157730231</v>
      </c>
      <c r="AV13" s="0" t="n">
        <f aca="false">SUM(AV7:AV8)</f>
        <v>-304.442172586703</v>
      </c>
      <c r="AW13" s="0" t="n">
        <f aca="false">SUM(AW7:AW8)</f>
        <v>-343.03027006113</v>
      </c>
      <c r="AX13" s="0" t="n">
        <f aca="false">SUM(AX7:AX8)</f>
        <v>-354.740397787635</v>
      </c>
      <c r="AY13" s="0" t="n">
        <f aca="false">SUM(AY7:AY8)</f>
        <v>-410.060054866039</v>
      </c>
      <c r="AZ13" s="0" t="n">
        <f aca="false">SUM(AZ7:AZ8)</f>
        <v>-433.009830020012</v>
      </c>
    </row>
    <row r="14" customFormat="false" ht="13.8" hidden="false" customHeight="false" outlineLevel="0" collapsed="false">
      <c r="X14" s="0" t="s">
        <v>12</v>
      </c>
      <c r="Y14" s="0" t="n">
        <v>-0.108144665765777</v>
      </c>
      <c r="Z14" s="0" t="n">
        <v>-0.192542389735408</v>
      </c>
      <c r="AA14" s="0" t="n">
        <v>-1.22936366561436</v>
      </c>
      <c r="AB14" s="0" t="n">
        <v>-0.747226907714665</v>
      </c>
      <c r="AC14" s="0" t="n">
        <v>-1.16918568758704</v>
      </c>
      <c r="AD14" s="0" t="n">
        <v>-1.65841430146556</v>
      </c>
      <c r="AE14" s="0" t="n">
        <v>-2.19536498654542</v>
      </c>
      <c r="AF14" s="0" t="n">
        <v>-2.76233647772701</v>
      </c>
      <c r="AG14" s="0" t="n">
        <v>-3.34347400761658</v>
      </c>
      <c r="AH14" s="0" t="n">
        <v>-3.92476930652559</v>
      </c>
      <c r="AI14" s="0" t="n">
        <v>-9.2100399521562</v>
      </c>
      <c r="AJ14" s="0" t="n">
        <v>-13.6623830701372</v>
      </c>
      <c r="AK14" s="0" t="n">
        <v>-9.68259350676109</v>
      </c>
      <c r="AL14" s="0" t="n">
        <v>-6.03599021827974</v>
      </c>
      <c r="AM14" s="0" t="n">
        <v>-6.47487950571556</v>
      </c>
      <c r="AN14" s="0" t="n">
        <v>-15.3606369841992</v>
      </c>
      <c r="AO14" s="0" t="n">
        <v>-21.804607950747</v>
      </c>
      <c r="AP14" s="0" t="n">
        <v>-17.382464881996</v>
      </c>
      <c r="AQ14" s="0" t="n">
        <v>-24.8255900727615</v>
      </c>
      <c r="AR14" s="0" t="n">
        <v>-37.1100338797519</v>
      </c>
      <c r="AS14" s="0" t="n">
        <v>-43.560358621795</v>
      </c>
      <c r="AT14" s="0" t="n">
        <v>-50.6318962093794</v>
      </c>
      <c r="AU14" s="0" t="n">
        <v>-37.8917188823292</v>
      </c>
      <c r="AV14" s="0" t="n">
        <v>-38.001798376549</v>
      </c>
      <c r="AW14" s="0" t="n">
        <v>-38.1600862878683</v>
      </c>
      <c r="AX14" s="0" t="n">
        <v>-36.2201164666569</v>
      </c>
      <c r="AY14" s="0" t="n">
        <v>-36.2966984987819</v>
      </c>
      <c r="AZ14" s="0" t="n">
        <v>-47.4041671407636</v>
      </c>
    </row>
    <row r="15" customFormat="false" ht="13.8" hidden="false" customHeight="false" outlineLevel="0" collapsed="false">
      <c r="X15" s="0" t="s">
        <v>13</v>
      </c>
      <c r="Y15" s="0" t="n">
        <v>-6.35473902653253</v>
      </c>
      <c r="Z15" s="0" t="n">
        <v>-11.3141107282311</v>
      </c>
      <c r="AA15" s="0" t="n">
        <v>-14.6704008905723</v>
      </c>
      <c r="AB15" s="0" t="n">
        <v>-26.330164572891</v>
      </c>
      <c r="AC15" s="0" t="n">
        <v>-41.6041008944185</v>
      </c>
      <c r="AD15" s="0" t="n">
        <v>-59.0127297526077</v>
      </c>
      <c r="AE15" s="0" t="n">
        <v>-78.1194750030457</v>
      </c>
      <c r="AF15" s="0" t="n">
        <v>-98.2944745836099</v>
      </c>
      <c r="AG15" s="0" t="n">
        <v>-118.973555638173</v>
      </c>
      <c r="AH15" s="0" t="n">
        <v>-139.563028501536</v>
      </c>
      <c r="AI15" s="0" t="n">
        <v>-159.232767395219</v>
      </c>
      <c r="AJ15" s="0" t="n">
        <v>-179.493300797833</v>
      </c>
      <c r="AK15" s="0" t="n">
        <v>-201.071798222988</v>
      </c>
      <c r="AL15" s="0" t="n">
        <v>-214.289908274615</v>
      </c>
      <c r="AM15" s="0" t="n">
        <v>-220.333748624574</v>
      </c>
      <c r="AN15" s="0" t="n">
        <v>-223.54402250193</v>
      </c>
      <c r="AO15" s="0" t="n">
        <v>-222.108007140967</v>
      </c>
      <c r="AP15" s="0" t="n">
        <v>-214.541742572523</v>
      </c>
      <c r="AQ15" s="0" t="n">
        <v>-198.888109510668</v>
      </c>
      <c r="AR15" s="0" t="n">
        <v>-188.836454345604</v>
      </c>
      <c r="AS15" s="0" t="n">
        <v>-186.874187379051</v>
      </c>
      <c r="AT15" s="0" t="n">
        <v>-189.391269873809</v>
      </c>
      <c r="AU15" s="0" t="n">
        <v>-195.525319137845</v>
      </c>
      <c r="AV15" s="0" t="n">
        <v>-196.204751368544</v>
      </c>
      <c r="AW15" s="0" t="n">
        <v>-200.773000486203</v>
      </c>
      <c r="AX15" s="0" t="n">
        <v>-252.020457742368</v>
      </c>
      <c r="AY15" s="0" t="n">
        <v>-272.151402093188</v>
      </c>
      <c r="AZ15" s="0" t="n">
        <v>-303.567035915083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0"/>
  <sheetViews>
    <sheetView showFormulas="false" showGridLines="true" showRowColHeaders="true" showZeros="true" rightToLeft="false" tabSelected="true" showOutlineSymbols="true" defaultGridColor="true" view="normal" topLeftCell="A15" colorId="64" zoomScale="150" zoomScaleNormal="15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0" t="s">
        <v>10</v>
      </c>
      <c r="C2" s="0" t="s">
        <v>11</v>
      </c>
      <c r="D2" s="0" t="s">
        <v>12</v>
      </c>
      <c r="E2" s="0" t="s">
        <v>13</v>
      </c>
    </row>
    <row r="3" customFormat="false" ht="13.8" hidden="false" customHeight="false" outlineLevel="0" collapsed="false">
      <c r="B3" s="0" t="n">
        <v>2023</v>
      </c>
      <c r="C3" s="0" t="n">
        <v>-0.767329057943676</v>
      </c>
      <c r="D3" s="0" t="n">
        <v>-0.108144665765777</v>
      </c>
      <c r="E3" s="0" t="n">
        <v>-6.35473902653253</v>
      </c>
    </row>
    <row r="4" customFormat="false" ht="13.8" hidden="false" customHeight="false" outlineLevel="0" collapsed="false">
      <c r="B4" s="0" t="n">
        <v>2024</v>
      </c>
      <c r="C4" s="0" t="n">
        <v>-1.89535505574404</v>
      </c>
      <c r="D4" s="0" t="n">
        <v>-0.192542389735408</v>
      </c>
      <c r="E4" s="0" t="n">
        <v>-11.3141107282311</v>
      </c>
    </row>
    <row r="5" customFormat="false" ht="13.8" hidden="false" customHeight="false" outlineLevel="0" collapsed="false">
      <c r="B5" s="0" t="n">
        <v>2025</v>
      </c>
      <c r="C5" s="0" t="n">
        <v>-4.20737910456955E-006</v>
      </c>
      <c r="D5" s="0" t="n">
        <v>-1.22936366561436</v>
      </c>
      <c r="E5" s="0" t="n">
        <v>-14.6704008905723</v>
      </c>
    </row>
    <row r="6" customFormat="false" ht="13.8" hidden="false" customHeight="false" outlineLevel="0" collapsed="false">
      <c r="B6" s="0" t="n">
        <v>2026</v>
      </c>
      <c r="C6" s="0" t="n">
        <v>-5.28181725032628E-005</v>
      </c>
      <c r="D6" s="0" t="n">
        <v>-0.747226907714665</v>
      </c>
      <c r="E6" s="0" t="n">
        <v>-26.330164572891</v>
      </c>
    </row>
    <row r="7" customFormat="false" ht="13.8" hidden="false" customHeight="false" outlineLevel="0" collapsed="false">
      <c r="B7" s="0" t="n">
        <v>2027</v>
      </c>
      <c r="C7" s="0" t="n">
        <v>0</v>
      </c>
      <c r="D7" s="0" t="n">
        <v>-1.16918568758704</v>
      </c>
      <c r="E7" s="0" t="n">
        <v>-41.6041008944185</v>
      </c>
    </row>
    <row r="8" customFormat="false" ht="13.8" hidden="false" customHeight="false" outlineLevel="0" collapsed="false">
      <c r="B8" s="0" t="n">
        <v>2028</v>
      </c>
      <c r="C8" s="0" t="n">
        <v>-0.000185714207073674</v>
      </c>
      <c r="D8" s="0" t="n">
        <v>-1.65841430146556</v>
      </c>
      <c r="E8" s="0" t="n">
        <v>-59.0127297526077</v>
      </c>
    </row>
    <row r="9" customFormat="false" ht="13.8" hidden="false" customHeight="false" outlineLevel="0" collapsed="false">
      <c r="B9" s="0" t="n">
        <v>2029</v>
      </c>
      <c r="C9" s="0" t="n">
        <v>-0.00026402808339335</v>
      </c>
      <c r="D9" s="0" t="n">
        <v>-2.19536498654542</v>
      </c>
      <c r="E9" s="0" t="n">
        <v>-78.1194750030457</v>
      </c>
    </row>
    <row r="10" customFormat="false" ht="13.8" hidden="false" customHeight="false" outlineLevel="0" collapsed="false">
      <c r="B10" s="0" t="n">
        <v>2030</v>
      </c>
      <c r="C10" s="0" t="n">
        <v>-0.000346720472926274</v>
      </c>
      <c r="D10" s="0" t="n">
        <v>-2.76233647772701</v>
      </c>
      <c r="E10" s="0" t="n">
        <v>-98.2944745836099</v>
      </c>
    </row>
    <row r="11" customFormat="false" ht="13.8" hidden="false" customHeight="false" outlineLevel="0" collapsed="false">
      <c r="B11" s="0" t="n">
        <v>2031</v>
      </c>
      <c r="C11" s="0" t="n">
        <v>-0.000431478969158605</v>
      </c>
      <c r="D11" s="0" t="n">
        <v>-3.34347400761658</v>
      </c>
      <c r="E11" s="0" t="n">
        <v>-118.973555638173</v>
      </c>
    </row>
    <row r="12" customFormat="false" ht="13.8" hidden="false" customHeight="false" outlineLevel="0" collapsed="false">
      <c r="B12" s="0" t="n">
        <v>2032</v>
      </c>
      <c r="C12" s="0" t="n">
        <v>-0.000488178305145353</v>
      </c>
      <c r="D12" s="0" t="n">
        <v>-3.92476930652559</v>
      </c>
      <c r="E12" s="0" t="n">
        <v>-139.563028501536</v>
      </c>
    </row>
    <row r="13" customFormat="false" ht="13.8" hidden="false" customHeight="false" outlineLevel="0" collapsed="false">
      <c r="B13" s="0" t="n">
        <v>2033</v>
      </c>
      <c r="C13" s="0" t="n">
        <v>-0.000655455549165607</v>
      </c>
      <c r="D13" s="0" t="n">
        <v>-9.2100399521562</v>
      </c>
      <c r="E13" s="0" t="n">
        <v>-159.232767395219</v>
      </c>
    </row>
    <row r="14" customFormat="false" ht="13.8" hidden="false" customHeight="false" outlineLevel="0" collapsed="false">
      <c r="B14" s="0" t="n">
        <v>2034</v>
      </c>
      <c r="C14" s="0" t="n">
        <v>-0.000735231029875577</v>
      </c>
      <c r="D14" s="0" t="n">
        <v>-13.6623830701372</v>
      </c>
      <c r="E14" s="0" t="n">
        <v>-179.493300797833</v>
      </c>
    </row>
    <row r="15" customFormat="false" ht="13.8" hidden="false" customHeight="false" outlineLevel="0" collapsed="false">
      <c r="B15" s="0" t="n">
        <v>2035</v>
      </c>
      <c r="C15" s="0" t="n">
        <v>-0.00081051609473303</v>
      </c>
      <c r="D15" s="0" t="n">
        <v>-9.68259350676109</v>
      </c>
      <c r="E15" s="0" t="n">
        <v>-201.071798222988</v>
      </c>
    </row>
    <row r="16" customFormat="false" ht="13.8" hidden="false" customHeight="false" outlineLevel="0" collapsed="false">
      <c r="B16" s="0" t="n">
        <v>2036</v>
      </c>
      <c r="C16" s="0" t="n">
        <v>-0.000880344889171422</v>
      </c>
      <c r="D16" s="0" t="n">
        <v>-6.03599021827974</v>
      </c>
      <c r="E16" s="0" t="n">
        <v>-214.289908274615</v>
      </c>
    </row>
    <row r="17" customFormat="false" ht="13.8" hidden="false" customHeight="false" outlineLevel="0" collapsed="false">
      <c r="B17" s="0" t="n">
        <v>2037</v>
      </c>
      <c r="C17" s="0" t="n">
        <v>-0.001639229364987</v>
      </c>
      <c r="D17" s="0" t="n">
        <v>-6.47487950571556</v>
      </c>
      <c r="E17" s="0" t="n">
        <v>-220.333748624574</v>
      </c>
    </row>
    <row r="18" customFormat="false" ht="13.8" hidden="false" customHeight="false" outlineLevel="0" collapsed="false">
      <c r="B18" s="0" t="n">
        <v>2038</v>
      </c>
      <c r="C18" s="0" t="n">
        <v>-9.19671723712635</v>
      </c>
      <c r="D18" s="0" t="n">
        <v>-15.3606369841992</v>
      </c>
      <c r="E18" s="0" t="n">
        <v>-223.54402250193</v>
      </c>
    </row>
    <row r="19" customFormat="false" ht="13.8" hidden="false" customHeight="false" outlineLevel="0" collapsed="false">
      <c r="B19" s="0" t="n">
        <v>2039</v>
      </c>
      <c r="C19" s="0" t="n">
        <v>-25.1814795893959</v>
      </c>
      <c r="D19" s="0" t="n">
        <v>-21.804607950747</v>
      </c>
      <c r="E19" s="0" t="n">
        <v>-222.108007140967</v>
      </c>
    </row>
    <row r="20" customFormat="false" ht="13.8" hidden="false" customHeight="false" outlineLevel="0" collapsed="false">
      <c r="B20" s="0" t="n">
        <v>2040</v>
      </c>
      <c r="C20" s="0" t="n">
        <v>-48.7644252414488</v>
      </c>
      <c r="D20" s="0" t="n">
        <v>-17.382464881996</v>
      </c>
      <c r="E20" s="0" t="n">
        <v>-214.541742572523</v>
      </c>
    </row>
    <row r="21" customFormat="false" ht="13.8" hidden="false" customHeight="false" outlineLevel="0" collapsed="false">
      <c r="B21" s="0" t="n">
        <v>2041</v>
      </c>
      <c r="C21" s="0" t="n">
        <v>-77.4992568897492</v>
      </c>
      <c r="D21" s="0" t="n">
        <v>-24.8255900727615</v>
      </c>
      <c r="E21" s="0" t="n">
        <v>-198.888109510668</v>
      </c>
    </row>
    <row r="22" customFormat="false" ht="13.8" hidden="false" customHeight="false" outlineLevel="0" collapsed="false">
      <c r="B22" s="0" t="n">
        <v>2042</v>
      </c>
      <c r="C22" s="0" t="n">
        <v>-127.058584143698</v>
      </c>
      <c r="D22" s="0" t="n">
        <v>-37.1100338797519</v>
      </c>
      <c r="E22" s="0" t="n">
        <v>-188.836454345604</v>
      </c>
    </row>
    <row r="23" customFormat="false" ht="13.8" hidden="false" customHeight="false" outlineLevel="0" collapsed="false">
      <c r="B23" s="0" t="n">
        <v>2043</v>
      </c>
      <c r="C23" s="0" t="n">
        <v>-178.036166986293</v>
      </c>
      <c r="D23" s="0" t="n">
        <v>-43.560358621795</v>
      </c>
      <c r="E23" s="0" t="n">
        <v>-186.874187379051</v>
      </c>
    </row>
    <row r="24" customFormat="false" ht="13.8" hidden="false" customHeight="false" outlineLevel="0" collapsed="false">
      <c r="B24" s="0" t="n">
        <v>2044</v>
      </c>
      <c r="C24" s="0" t="n">
        <v>-225.248560364547</v>
      </c>
      <c r="D24" s="0" t="n">
        <v>-50.6318962093794</v>
      </c>
      <c r="E24" s="0" t="n">
        <v>-189.391269873809</v>
      </c>
    </row>
    <row r="25" customFormat="false" ht="13.8" hidden="false" customHeight="false" outlineLevel="0" collapsed="false">
      <c r="B25" s="0" t="n">
        <v>2045</v>
      </c>
      <c r="C25" s="0" t="n">
        <v>-267.393157730231</v>
      </c>
      <c r="D25" s="0" t="n">
        <v>-37.8917188823292</v>
      </c>
      <c r="E25" s="0" t="n">
        <v>-195.525319137845</v>
      </c>
    </row>
    <row r="26" customFormat="false" ht="13.8" hidden="false" customHeight="false" outlineLevel="0" collapsed="false">
      <c r="B26" s="0" t="n">
        <v>2046</v>
      </c>
      <c r="C26" s="0" t="n">
        <v>-304.442172586702</v>
      </c>
      <c r="D26" s="0" t="n">
        <v>-38.001798376549</v>
      </c>
      <c r="E26" s="0" t="n">
        <v>-196.204751368544</v>
      </c>
    </row>
    <row r="27" customFormat="false" ht="13.8" hidden="false" customHeight="false" outlineLevel="0" collapsed="false">
      <c r="B27" s="0" t="n">
        <v>2047</v>
      </c>
      <c r="C27" s="0" t="n">
        <v>-343.03027006113</v>
      </c>
      <c r="D27" s="0" t="n">
        <v>-38.1600862878683</v>
      </c>
      <c r="E27" s="0" t="n">
        <v>-200.773000486203</v>
      </c>
    </row>
    <row r="28" customFormat="false" ht="13.8" hidden="false" customHeight="false" outlineLevel="0" collapsed="false">
      <c r="B28" s="0" t="n">
        <v>2048</v>
      </c>
      <c r="C28" s="0" t="n">
        <v>-354.740397787635</v>
      </c>
      <c r="D28" s="0" t="n">
        <v>-36.2201164666569</v>
      </c>
      <c r="E28" s="0" t="n">
        <v>-252.020457742368</v>
      </c>
    </row>
    <row r="29" customFormat="false" ht="13.8" hidden="false" customHeight="false" outlineLevel="0" collapsed="false">
      <c r="B29" s="0" t="n">
        <v>2049</v>
      </c>
      <c r="C29" s="0" t="n">
        <v>-410.060054866039</v>
      </c>
      <c r="D29" s="0" t="n">
        <v>-36.2966984987819</v>
      </c>
      <c r="E29" s="0" t="n">
        <v>-272.151402093188</v>
      </c>
    </row>
    <row r="30" customFormat="false" ht="13.8" hidden="false" customHeight="false" outlineLevel="0" collapsed="false">
      <c r="B30" s="0" t="n">
        <v>2050</v>
      </c>
      <c r="C30" s="0" t="n">
        <v>-433.009830020011</v>
      </c>
      <c r="D30" s="0" t="n">
        <v>-47.4041671407636</v>
      </c>
      <c r="E30" s="0" t="n">
        <v>-303.567035915083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2025-11-12T17:28:19Z</dcterms:created>
  <dc:creator>Emilio</dc:creator>
  <dc:description/>
  <dc:language>es-AR</dc:language>
  <cp:lastModifiedBy/>
  <dcterms:modified xsi:type="dcterms:W3CDTF">2025-11-13T15:03:47Z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