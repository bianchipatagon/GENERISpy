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<sst xmlns="http://schemas.openxmlformats.org/spreadsheetml/2006/main" count="142" uniqueCount="54">
  <si>
    <t xml:space="preserve">Power Generation</t>
  </si>
  <si>
    <t xml:space="preserve">Scenario: Tendencial Generacion Distribuida Differences vs. Tendencial Base ESO Transmision, 2040, All Regions</t>
  </si>
  <si>
    <t xml:space="preserve">Branch: Transformation\Centrales Eléctricas\Processes</t>
  </si>
  <si>
    <t xml:space="preserve">Units: Megawatts</t>
  </si>
  <si>
    <t xml:space="preserve">Branch</t>
  </si>
  <si>
    <t xml:space="preserve">Dry: Hr 1-2</t>
  </si>
  <si>
    <t xml:space="preserve">Dry: Hr 3-4</t>
  </si>
  <si>
    <t xml:space="preserve">Dry: Hr 5-6</t>
  </si>
  <si>
    <t xml:space="preserve">Dry: Hr 7-8</t>
  </si>
  <si>
    <t xml:space="preserve">Dry: Hr 9-10</t>
  </si>
  <si>
    <t xml:space="preserve">Dry: Hr 11-12</t>
  </si>
  <si>
    <t xml:space="preserve">Dry: Hr 13-14</t>
  </si>
  <si>
    <t xml:space="preserve">Dry: Hr 15-16</t>
  </si>
  <si>
    <t xml:space="preserve">Dry: Hr 17-18</t>
  </si>
  <si>
    <t xml:space="preserve">Dry: Hr 19-20</t>
  </si>
  <si>
    <t xml:space="preserve">Dry: Hr 21-22</t>
  </si>
  <si>
    <t xml:space="preserve">Dry: Hr 23-24</t>
  </si>
  <si>
    <t xml:space="preserve">Wet: Hr 1-2</t>
  </si>
  <si>
    <t xml:space="preserve">Wet: Hr 3-4</t>
  </si>
  <si>
    <t xml:space="preserve">Wet: Hr 5-6</t>
  </si>
  <si>
    <t xml:space="preserve">Wet: Hr 7-8</t>
  </si>
  <si>
    <t xml:space="preserve">Wet: Hr 9-10</t>
  </si>
  <si>
    <t xml:space="preserve">Wet: Hr 11-12</t>
  </si>
  <si>
    <t xml:space="preserve">Wet: Hr 13-14</t>
  </si>
  <si>
    <t xml:space="preserve">Wet: Hr 15-16</t>
  </si>
  <si>
    <t xml:space="preserve">Wet: Hr 17-18</t>
  </si>
  <si>
    <t xml:space="preserve">Wet: Hr 19-20</t>
  </si>
  <si>
    <t xml:space="preserve">Wet: Hr 21-22</t>
  </si>
  <si>
    <t xml:space="preserve">Wet: Hr 23-24</t>
  </si>
  <si>
    <t xml:space="preserve">Total</t>
  </si>
  <si>
    <t xml:space="preserve">TG_ex</t>
  </si>
  <si>
    <t xml:space="preserve">TV_ex</t>
  </si>
  <si>
    <t xml:space="preserve">Motor Dual_ex</t>
  </si>
  <si>
    <t xml:space="preserve">CC_ex</t>
  </si>
  <si>
    <t xml:space="preserve">Solar_ex</t>
  </si>
  <si>
    <t xml:space="preserve">Solar_nv</t>
  </si>
  <si>
    <t xml:space="preserve">Eolica_ex</t>
  </si>
  <si>
    <t xml:space="preserve">Hidroelectrica_ex</t>
  </si>
  <si>
    <t xml:space="preserve">Hidro Otras</t>
  </si>
  <si>
    <t xml:space="preserve">Hora</t>
  </si>
  <si>
    <t xml:space="preserve">TG</t>
  </si>
  <si>
    <t xml:space="preserve">TV</t>
  </si>
  <si>
    <t xml:space="preserve">Motor</t>
  </si>
  <si>
    <t xml:space="preserve">CC</t>
  </si>
  <si>
    <t xml:space="preserve">Solar</t>
  </si>
  <si>
    <t xml:space="preserve">Eolica </t>
  </si>
  <si>
    <t xml:space="preserve">Hidro</t>
  </si>
  <si>
    <t xml:space="preserve">Tgn</t>
  </si>
  <si>
    <t xml:space="preserve">Ccn</t>
  </si>
  <si>
    <t xml:space="preserve">Fosil</t>
  </si>
  <si>
    <t xml:space="preserve">Fosiln</t>
  </si>
  <si>
    <t xml:space="preserve">Solarn</t>
  </si>
  <si>
    <t xml:space="preserve">Eolican</t>
  </si>
  <si>
    <t xml:space="preserve">Hidron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</si>
</sst>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 * #,##0.000_ ;_ * \-#,##0.000_ ;_ * \-??_ ;_ @_ 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E2EDFA"/>
      </patternFill>
    </fill>
    <fill>
      <patternFill patternType="solid">
        <fgColor rgb="FFE2EDFA"/>
        <bgColor rgb="FFDCDCD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DFA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T7" activePane="bottomRight" state="frozen"/>
      <selection pane="topLeft" activeCell="A1" activeCellId="0" sqref="A1"/>
      <selection pane="topRight" activeCell="T1" activeCellId="0" sqref="T1"/>
      <selection pane="bottomLeft" activeCell="A7" activeCellId="0" sqref="A7"/>
      <selection pane="bottomRight" activeCell="A20" activeCellId="1" sqref="F32:M56 A20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22.23"/>
    <col collapsed="false" customWidth="true" hidden="false" outlineLevel="0" max="5" min="2" style="0" width="10.13"/>
    <col collapsed="false" customWidth="true" hidden="false" outlineLevel="0" max="6" min="6" style="0" width="11.14"/>
    <col collapsed="false" customWidth="true" hidden="false" outlineLevel="0" max="13" min="7" style="0" width="12.14"/>
    <col collapsed="false" customWidth="true" hidden="false" outlineLevel="0" max="17" min="14" style="0" width="10.85"/>
    <col collapsed="false" customWidth="true" hidden="false" outlineLevel="0" max="18" min="18" style="0" width="11.86"/>
    <col collapsed="false" customWidth="true" hidden="false" outlineLevel="0" max="25" min="19" style="0" width="12.8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/>
    </row>
    <row r="6" customFormat="false" ht="15" hidden="false" customHeight="false" outlineLevel="0" collapsed="false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  <c r="W6" s="2" t="s">
        <v>26</v>
      </c>
      <c r="X6" s="2" t="s">
        <v>27</v>
      </c>
      <c r="Y6" s="2" t="s">
        <v>28</v>
      </c>
      <c r="Z6" s="2" t="s">
        <v>29</v>
      </c>
    </row>
    <row r="7" customFormat="false" ht="15" hidden="false" customHeight="false" outlineLevel="0" collapsed="false">
      <c r="A7" s="0" t="s">
        <v>30</v>
      </c>
      <c r="B7" s="3" t="n">
        <v>-2.36468622460961E-014</v>
      </c>
      <c r="C7" s="3" t="n">
        <v>1.36424205265939E-013</v>
      </c>
      <c r="D7" s="3" t="n">
        <v>-0.0142732104398201</v>
      </c>
      <c r="E7" s="3" t="n">
        <v>-23.9026588732305</v>
      </c>
      <c r="F7" s="3" t="n">
        <v>-36.4972285741281</v>
      </c>
      <c r="G7" s="3" t="n">
        <v>-12.0064698745359</v>
      </c>
      <c r="H7" s="3" t="n">
        <v>0</v>
      </c>
      <c r="I7" s="3" t="n">
        <v>0</v>
      </c>
      <c r="J7" s="3" t="n">
        <v>0</v>
      </c>
      <c r="K7" s="3" t="n">
        <v>-0.0613624285678052</v>
      </c>
      <c r="L7" s="3" t="n">
        <v>-0.00845415337770828</v>
      </c>
      <c r="M7" s="3" t="n">
        <v>-3.63797880709171E-013</v>
      </c>
      <c r="N7" s="3" t="n">
        <v>-1.81898940354586E-013</v>
      </c>
      <c r="O7" s="3" t="n">
        <v>-1.30967237055302E-013</v>
      </c>
      <c r="P7" s="3" t="n">
        <v>-0.0795680403280858</v>
      </c>
      <c r="Q7" s="3" t="n">
        <v>-30.1961100173937</v>
      </c>
      <c r="R7" s="3" t="n">
        <v>-59.0394296835757</v>
      </c>
      <c r="S7" s="3" t="n">
        <v>-29.4638438371355</v>
      </c>
      <c r="T7" s="3" t="n">
        <v>0</v>
      </c>
      <c r="U7" s="3" t="n">
        <v>0</v>
      </c>
      <c r="V7" s="3" t="n">
        <v>-12.5627029827925</v>
      </c>
      <c r="W7" s="3" t="n">
        <v>-1.57863714652487</v>
      </c>
      <c r="X7" s="3" t="n">
        <v>-5.82076609134674E-014</v>
      </c>
      <c r="Y7" s="3" t="n">
        <v>-1.45519152283669E-013</v>
      </c>
      <c r="Z7" s="3" t="n">
        <v>-205.410738822031</v>
      </c>
    </row>
    <row r="8" customFormat="false" ht="15" hidden="false" customHeight="false" outlineLevel="0" collapsed="false">
      <c r="A8" s="0" t="s">
        <v>31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-45.797300675</v>
      </c>
      <c r="G8" s="3" t="n">
        <v>-38.83977785</v>
      </c>
      <c r="H8" s="3" t="n">
        <v>-25.6037858255385</v>
      </c>
      <c r="I8" s="3" t="n">
        <v>-17.1187018306535</v>
      </c>
      <c r="J8" s="3" t="n">
        <v>-32.8931964985984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-16.00309612</v>
      </c>
      <c r="S8" s="3" t="n">
        <v>-16.27320175</v>
      </c>
      <c r="T8" s="3" t="n">
        <v>-16.380132085</v>
      </c>
      <c r="U8" s="3" t="n">
        <v>-14.3253749740272</v>
      </c>
      <c r="V8" s="3" t="n">
        <v>-15.968986935</v>
      </c>
      <c r="W8" s="3" t="n">
        <v>0</v>
      </c>
      <c r="X8" s="3" t="n">
        <v>0</v>
      </c>
      <c r="Y8" s="3" t="n">
        <v>0</v>
      </c>
      <c r="Z8" s="3" t="n">
        <v>-239.203554543818</v>
      </c>
    </row>
    <row r="9" customFormat="false" ht="15" hidden="false" customHeight="false" outlineLevel="0" collapsed="false">
      <c r="A9" s="0" t="s">
        <v>32</v>
      </c>
      <c r="B9" s="3" t="n">
        <v>0</v>
      </c>
      <c r="C9" s="3" t="n">
        <v>-1.81898940354586E-015</v>
      </c>
      <c r="D9" s="3" t="n">
        <v>-0.000129651031120375</v>
      </c>
      <c r="E9" s="3" t="n">
        <v>-0.488265783172748</v>
      </c>
      <c r="F9" s="3" t="n">
        <v>-36.713370520348</v>
      </c>
      <c r="G9" s="3" t="n">
        <v>-3.87959084814604</v>
      </c>
      <c r="H9" s="3" t="n">
        <v>-3.93525470324011</v>
      </c>
      <c r="I9" s="3" t="n">
        <v>-7.94297856714366</v>
      </c>
      <c r="J9" s="3" t="n">
        <v>-0.956651914442826</v>
      </c>
      <c r="K9" s="3" t="n">
        <v>-0.00125346616880233</v>
      </c>
      <c r="L9" s="3" t="n">
        <v>-0.000172695173449029</v>
      </c>
      <c r="M9" s="3" t="n">
        <v>-9.09494701772928E-015</v>
      </c>
      <c r="N9" s="3" t="n">
        <v>-5.45696821063757E-015</v>
      </c>
      <c r="O9" s="3" t="n">
        <v>-3.63797880709171E-015</v>
      </c>
      <c r="P9" s="3" t="n">
        <v>-0.0016253568999291</v>
      </c>
      <c r="Q9" s="3" t="n">
        <v>-0.719844347113643</v>
      </c>
      <c r="R9" s="3" t="n">
        <v>-2.72579838354591</v>
      </c>
      <c r="S9" s="3" t="n">
        <v>-3.8083156020848</v>
      </c>
      <c r="T9" s="3" t="n">
        <v>-3.70599456135646</v>
      </c>
      <c r="U9" s="3" t="n">
        <v>-2.91414050242331</v>
      </c>
      <c r="V9" s="3" t="n">
        <v>-1.1435843498361</v>
      </c>
      <c r="W9" s="3" t="n">
        <v>-0.0322472285104923</v>
      </c>
      <c r="X9" s="3" t="n">
        <v>0</v>
      </c>
      <c r="Y9" s="3" t="n">
        <v>-3.63797880709171E-015</v>
      </c>
      <c r="Z9" s="3" t="n">
        <v>-68.9692184806374</v>
      </c>
    </row>
    <row r="10" customFormat="false" ht="15" hidden="false" customHeight="false" outlineLevel="0" collapsed="false">
      <c r="A10" s="0" t="s">
        <v>33</v>
      </c>
      <c r="B10" s="3" t="n">
        <v>5.82076609134674E-014</v>
      </c>
      <c r="C10" s="3" t="n">
        <v>5.82076609134674E-014</v>
      </c>
      <c r="D10" s="3" t="n">
        <v>-0.00195478272007313</v>
      </c>
      <c r="E10" s="3" t="n">
        <v>-37.2119633670006</v>
      </c>
      <c r="F10" s="3" t="n">
        <v>-111.821390233223</v>
      </c>
      <c r="G10" s="3" t="n">
        <v>-182.469615561831</v>
      </c>
      <c r="H10" s="3" t="n">
        <v>-226.37631532979</v>
      </c>
      <c r="I10" s="3" t="n">
        <v>-183.94314363056</v>
      </c>
      <c r="J10" s="3" t="n">
        <v>-86.8477773346679</v>
      </c>
      <c r="K10" s="3" t="n">
        <v>-0.0955298093017736</v>
      </c>
      <c r="L10" s="3" t="n">
        <v>-0.0131615335114693</v>
      </c>
      <c r="M10" s="3" t="n">
        <v>2.91038304567337E-013</v>
      </c>
      <c r="N10" s="3" t="n">
        <v>3.63797880709171E-013</v>
      </c>
      <c r="O10" s="3" t="n">
        <v>1.89174897968769E-013</v>
      </c>
      <c r="P10" s="3" t="n">
        <v>-0.123872537258852</v>
      </c>
      <c r="Q10" s="3" t="n">
        <v>-46.906667545859</v>
      </c>
      <c r="R10" s="3" t="n">
        <v>-84.3943223067665</v>
      </c>
      <c r="S10" s="3" t="n">
        <v>-183.014959685773</v>
      </c>
      <c r="T10" s="3" t="n">
        <v>-216.688049009412</v>
      </c>
      <c r="U10" s="3" t="n">
        <v>-172.271293845623</v>
      </c>
      <c r="V10" s="3" t="n">
        <v>-29.5936847737346</v>
      </c>
      <c r="W10" s="3" t="n">
        <v>-0.486199951659248</v>
      </c>
      <c r="X10" s="3" t="n">
        <v>5.82076609134674E-014</v>
      </c>
      <c r="Y10" s="3" t="n">
        <v>2.5465851649642E-014</v>
      </c>
      <c r="Z10" s="3" t="n">
        <v>-1562.25990123869</v>
      </c>
    </row>
    <row r="11" customFormat="false" ht="15" hidden="false" customHeight="false" outlineLevel="0" collapsed="false">
      <c r="A11" s="0" t="s">
        <v>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20.451713151906</v>
      </c>
      <c r="H11" s="3" t="n">
        <v>-75.88</v>
      </c>
      <c r="I11" s="3" t="n">
        <v>-58.41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8.49905904544329</v>
      </c>
      <c r="S11" s="3" t="n">
        <v>0</v>
      </c>
      <c r="T11" s="3" t="n">
        <v>-70.3</v>
      </c>
      <c r="U11" s="3" t="n">
        <v>38.9723302513592</v>
      </c>
      <c r="V11" s="3" t="n">
        <v>0</v>
      </c>
      <c r="W11" s="3" t="n">
        <v>0.61</v>
      </c>
      <c r="X11" s="3" t="n">
        <v>0</v>
      </c>
      <c r="Y11" s="3" t="n">
        <v>0</v>
      </c>
      <c r="Z11" s="3" t="n">
        <v>-136.056897551291</v>
      </c>
    </row>
    <row r="12" customFormat="false" ht="15" hidden="false" customHeight="false" outlineLevel="0" collapsed="false">
      <c r="A12" s="0" t="s">
        <v>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-91.056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-12.1414280752992</v>
      </c>
      <c r="W12" s="3" t="n">
        <v>0.732</v>
      </c>
      <c r="X12" s="3" t="n">
        <v>0</v>
      </c>
      <c r="Y12" s="3" t="n">
        <v>0</v>
      </c>
      <c r="Z12" s="3" t="n">
        <v>-102.465428075299</v>
      </c>
    </row>
    <row r="13" customFormat="false" ht="15" hidden="false" customHeight="false" outlineLevel="0" collapsed="false">
      <c r="A13" s="0" t="s">
        <v>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-9.32272515</v>
      </c>
      <c r="H13" s="3" t="n">
        <v>11.3974902</v>
      </c>
      <c r="I13" s="3" t="n">
        <v>-13.0005522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7.4682648</v>
      </c>
      <c r="S13" s="3" t="n">
        <v>0</v>
      </c>
      <c r="T13" s="3" t="n">
        <v>0</v>
      </c>
      <c r="U13" s="3" t="n">
        <v>-12.9350691</v>
      </c>
      <c r="V13" s="3" t="n">
        <v>0</v>
      </c>
      <c r="W13" s="3" t="n">
        <v>12.081843</v>
      </c>
      <c r="X13" s="3" t="n">
        <v>10.8095706</v>
      </c>
      <c r="Y13" s="3" t="n">
        <v>0</v>
      </c>
      <c r="Z13" s="3" t="n">
        <v>6.49882215</v>
      </c>
    </row>
    <row r="14" customFormat="false" ht="15" hidden="false" customHeight="false" outlineLevel="0" collapsed="false">
      <c r="A14" s="0" t="s">
        <v>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-93.8844104216735</v>
      </c>
      <c r="G14" s="3" t="n">
        <v>0</v>
      </c>
      <c r="H14" s="3" t="n">
        <v>5.86833984956352</v>
      </c>
      <c r="I14" s="3" t="n">
        <v>-1.18658743359579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-203.542040525</v>
      </c>
      <c r="S14" s="3" t="n">
        <v>-28.1167511220613</v>
      </c>
      <c r="T14" s="3" t="n">
        <v>164.171061788617</v>
      </c>
      <c r="U14" s="3" t="n">
        <v>134.159325988732</v>
      </c>
      <c r="V14" s="3" t="n">
        <v>0</v>
      </c>
      <c r="W14" s="3" t="n">
        <v>-20.1758705967121</v>
      </c>
      <c r="X14" s="3" t="n">
        <v>-35.4339078612715</v>
      </c>
      <c r="Y14" s="3" t="n">
        <v>0</v>
      </c>
      <c r="Z14" s="3" t="n">
        <v>-78.1408403334017</v>
      </c>
    </row>
    <row r="15" customFormat="false" ht="15" hidden="false" customHeight="false" outlineLevel="0" collapsed="false">
      <c r="A15" s="0" t="s">
        <v>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-248.308751733333</v>
      </c>
      <c r="H15" s="3" t="n">
        <v>-90.9126175833334</v>
      </c>
      <c r="I15" s="3" t="n">
        <v>-100.550750666667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20.9323459002069</v>
      </c>
      <c r="S15" s="3" t="n">
        <v>-204.705582487893</v>
      </c>
      <c r="T15" s="3" t="n">
        <v>-320.4379728</v>
      </c>
      <c r="U15" s="3" t="n">
        <v>-338.353300798502</v>
      </c>
      <c r="V15" s="3" t="n">
        <v>-57.7718892093573</v>
      </c>
      <c r="W15" s="3" t="n">
        <v>4.78058515896992</v>
      </c>
      <c r="X15" s="3" t="n">
        <v>24.6243372612716</v>
      </c>
      <c r="Y15" s="3" t="n">
        <v>0</v>
      </c>
      <c r="Z15" s="3" t="n">
        <v>-1310.70359695864</v>
      </c>
    </row>
    <row r="16" customFormat="false" ht="15" hidden="false" customHeight="false" outlineLevel="0" collapsed="false">
      <c r="A16" s="2" t="s">
        <v>29</v>
      </c>
      <c r="B16" s="3" t="n">
        <v>3.45607986673713E-014</v>
      </c>
      <c r="C16" s="3" t="n">
        <v>1.92812876775861E-013</v>
      </c>
      <c r="D16" s="3" t="n">
        <v>-0.0163576441910136</v>
      </c>
      <c r="E16" s="3" t="n">
        <v>-61.6028880234039</v>
      </c>
      <c r="F16" s="3" t="n">
        <v>-324.713700424373</v>
      </c>
      <c r="G16" s="3" t="n">
        <v>-474.375217865941</v>
      </c>
      <c r="H16" s="3" t="n">
        <v>-496.498143392339</v>
      </c>
      <c r="I16" s="3" t="n">
        <v>-382.15271432862</v>
      </c>
      <c r="J16" s="3" t="n">
        <v>-120.697625747709</v>
      </c>
      <c r="K16" s="3" t="n">
        <v>-0.158145704038381</v>
      </c>
      <c r="L16" s="3" t="n">
        <v>-0.0217883820626266</v>
      </c>
      <c r="M16" s="3" t="n">
        <v>-8.18545231595636E-014</v>
      </c>
      <c r="N16" s="3" t="n">
        <v>1.76441972143948E-013</v>
      </c>
      <c r="O16" s="3" t="n">
        <v>5.45696821063757E-014</v>
      </c>
      <c r="P16" s="3" t="n">
        <v>-0.205065934486867</v>
      </c>
      <c r="Q16" s="3" t="n">
        <v>-77.8226219103663</v>
      </c>
      <c r="R16" s="3" t="n">
        <v>-328.805017273238</v>
      </c>
      <c r="S16" s="3" t="n">
        <v>-465.382654484947</v>
      </c>
      <c r="T16" s="3" t="n">
        <v>-463.341086667151</v>
      </c>
      <c r="U16" s="3" t="n">
        <v>-367.667522980485</v>
      </c>
      <c r="V16" s="3" t="n">
        <v>-129.18227632602</v>
      </c>
      <c r="W16" s="3" t="n">
        <v>-4.06852676443679</v>
      </c>
      <c r="X16" s="3" t="n">
        <v>8.5265128291212E-014</v>
      </c>
      <c r="Y16" s="3" t="n">
        <v>-1.23691279441118E-013</v>
      </c>
      <c r="Z16" s="4" t="n">
        <v>-3696.71135385381</v>
      </c>
    </row>
    <row r="17" customFormat="false" ht="13.8" hidden="false" customHeight="false" outlineLevel="0" collapsed="false">
      <c r="A17" s="0" t="s">
        <v>39</v>
      </c>
      <c r="B17" s="2" t="s">
        <v>5</v>
      </c>
      <c r="C17" s="2" t="s">
        <v>6</v>
      </c>
      <c r="D17" s="2" t="s">
        <v>7</v>
      </c>
      <c r="E17" s="2" t="s">
        <v>8</v>
      </c>
      <c r="F17" s="2" t="s">
        <v>9</v>
      </c>
      <c r="G17" s="2" t="s">
        <v>10</v>
      </c>
      <c r="H17" s="2" t="s">
        <v>11</v>
      </c>
      <c r="I17" s="2" t="s">
        <v>12</v>
      </c>
      <c r="J17" s="2" t="s">
        <v>13</v>
      </c>
      <c r="K17" s="2" t="s">
        <v>14</v>
      </c>
      <c r="L17" s="2" t="s">
        <v>15</v>
      </c>
      <c r="M17" s="2" t="s">
        <v>16</v>
      </c>
      <c r="N17" s="2" t="s">
        <v>17</v>
      </c>
      <c r="O17" s="2" t="s">
        <v>18</v>
      </c>
      <c r="P17" s="2" t="s">
        <v>19</v>
      </c>
      <c r="Q17" s="2" t="s">
        <v>20</v>
      </c>
      <c r="R17" s="2" t="s">
        <v>21</v>
      </c>
      <c r="S17" s="2" t="s">
        <v>22</v>
      </c>
      <c r="T17" s="2" t="s">
        <v>23</v>
      </c>
      <c r="U17" s="2" t="s">
        <v>24</v>
      </c>
      <c r="V17" s="2" t="s">
        <v>25</v>
      </c>
      <c r="W17" s="2" t="s">
        <v>26</v>
      </c>
      <c r="X17" s="2" t="s">
        <v>27</v>
      </c>
      <c r="Y17" s="2" t="s">
        <v>28</v>
      </c>
    </row>
    <row r="18" customFormat="false" ht="13.8" hidden="false" customHeight="false" outlineLevel="0" collapsed="false">
      <c r="A18" s="0" t="s">
        <v>40</v>
      </c>
      <c r="B18" s="0" t="n">
        <v>-2.36468622460961E-014</v>
      </c>
      <c r="C18" s="0" t="n">
        <v>1.36424205265939E-013</v>
      </c>
      <c r="D18" s="0" t="n">
        <v>-0.0142732104398201</v>
      </c>
      <c r="E18" s="0" t="n">
        <v>-23.9026588732305</v>
      </c>
      <c r="F18" s="0" t="n">
        <v>-36.4972285741281</v>
      </c>
      <c r="G18" s="0" t="n">
        <v>-12.0064698745359</v>
      </c>
      <c r="H18" s="0" t="n">
        <v>0</v>
      </c>
      <c r="I18" s="0" t="n">
        <v>0</v>
      </c>
      <c r="J18" s="0" t="n">
        <v>0</v>
      </c>
      <c r="K18" s="0" t="n">
        <v>-0.0613624285678052</v>
      </c>
      <c r="L18" s="0" t="n">
        <v>-0.00845415337770828</v>
      </c>
      <c r="M18" s="0" t="n">
        <v>-3.63797880709171E-013</v>
      </c>
      <c r="N18" s="0" t="n">
        <v>-1.81898940354586E-013</v>
      </c>
      <c r="O18" s="0" t="n">
        <v>-1.30967237055302E-013</v>
      </c>
      <c r="P18" s="0" t="n">
        <v>-0.0795680403280858</v>
      </c>
      <c r="Q18" s="0" t="n">
        <v>-30.1961100173937</v>
      </c>
      <c r="R18" s="0" t="n">
        <v>-59.0394296835757</v>
      </c>
      <c r="S18" s="0" t="n">
        <v>-29.4638438371355</v>
      </c>
      <c r="T18" s="0" t="n">
        <v>0</v>
      </c>
      <c r="U18" s="0" t="n">
        <v>0</v>
      </c>
      <c r="V18" s="0" t="n">
        <v>-12.5627029827925</v>
      </c>
      <c r="W18" s="0" t="n">
        <v>-1.57863714652487</v>
      </c>
      <c r="X18" s="0" t="n">
        <v>-5.82076609134674E-014</v>
      </c>
      <c r="Y18" s="0" t="n">
        <v>-1.45519152283669E-013</v>
      </c>
      <c r="Z18" s="0" t="n">
        <v>-205.410738822031</v>
      </c>
    </row>
    <row r="19" customFormat="false" ht="13.8" hidden="false" customHeight="false" outlineLevel="0" collapsed="false">
      <c r="A19" s="0" t="s">
        <v>41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-45.797300675</v>
      </c>
      <c r="G19" s="0" t="n">
        <v>-38.83977785</v>
      </c>
      <c r="H19" s="0" t="n">
        <v>-25.6037858255385</v>
      </c>
      <c r="I19" s="0" t="n">
        <v>-17.1187018306535</v>
      </c>
      <c r="J19" s="0" t="n">
        <v>-32.8931964985984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-16.00309612</v>
      </c>
      <c r="S19" s="0" t="n">
        <v>-16.27320175</v>
      </c>
      <c r="T19" s="0" t="n">
        <v>-16.380132085</v>
      </c>
      <c r="U19" s="0" t="n">
        <v>-14.3253749740272</v>
      </c>
      <c r="V19" s="0" t="n">
        <v>-15.968986935</v>
      </c>
      <c r="W19" s="0" t="n">
        <v>0</v>
      </c>
      <c r="X19" s="0" t="n">
        <v>0</v>
      </c>
      <c r="Y19" s="0" t="n">
        <v>0</v>
      </c>
      <c r="Z19" s="0" t="n">
        <v>-239.203554543818</v>
      </c>
    </row>
    <row r="20" customFormat="false" ht="13.8" hidden="false" customHeight="false" outlineLevel="0" collapsed="false">
      <c r="A20" s="0" t="s">
        <v>42</v>
      </c>
      <c r="B20" s="0" t="n">
        <v>0</v>
      </c>
      <c r="C20" s="0" t="n">
        <v>-1.81898940354586E-015</v>
      </c>
      <c r="D20" s="0" t="n">
        <v>-0.000129651031120375</v>
      </c>
      <c r="E20" s="0" t="n">
        <v>-0.488265783172748</v>
      </c>
      <c r="F20" s="0" t="n">
        <v>-36.713370520348</v>
      </c>
      <c r="G20" s="0" t="n">
        <v>-3.87959084814604</v>
      </c>
      <c r="H20" s="0" t="n">
        <v>-3.93525470324011</v>
      </c>
      <c r="I20" s="0" t="n">
        <v>-7.94297856714366</v>
      </c>
      <c r="J20" s="0" t="n">
        <v>-0.956651914442826</v>
      </c>
      <c r="K20" s="0" t="n">
        <v>-0.00125346616880233</v>
      </c>
      <c r="L20" s="0" t="n">
        <v>-0.000172695173449029</v>
      </c>
      <c r="M20" s="0" t="n">
        <v>-9.09494701772928E-015</v>
      </c>
      <c r="N20" s="0" t="n">
        <v>-5.45696821063757E-015</v>
      </c>
      <c r="O20" s="0" t="n">
        <v>-3.63797880709171E-015</v>
      </c>
      <c r="P20" s="0" t="n">
        <v>-0.0016253568999291</v>
      </c>
      <c r="Q20" s="0" t="n">
        <v>-0.719844347113643</v>
      </c>
      <c r="R20" s="0" t="n">
        <v>-2.72579838354591</v>
      </c>
      <c r="S20" s="0" t="n">
        <v>-3.8083156020848</v>
      </c>
      <c r="T20" s="0" t="n">
        <v>-3.70599456135646</v>
      </c>
      <c r="U20" s="0" t="n">
        <v>-2.91414050242331</v>
      </c>
      <c r="V20" s="0" t="n">
        <v>-1.1435843498361</v>
      </c>
      <c r="W20" s="0" t="n">
        <v>-0.0322472285104923</v>
      </c>
      <c r="X20" s="0" t="n">
        <v>0</v>
      </c>
      <c r="Y20" s="0" t="n">
        <v>-3.63797880709171E-015</v>
      </c>
      <c r="Z20" s="0" t="n">
        <v>-68.9692184806374</v>
      </c>
    </row>
    <row r="21" customFormat="false" ht="13.8" hidden="false" customHeight="false" outlineLevel="0" collapsed="false">
      <c r="A21" s="0" t="s">
        <v>43</v>
      </c>
      <c r="B21" s="0" t="n">
        <v>5.82076609134674E-014</v>
      </c>
      <c r="C21" s="0" t="n">
        <v>5.82076609134674E-014</v>
      </c>
      <c r="D21" s="0" t="n">
        <v>-0.00195478272007313</v>
      </c>
      <c r="E21" s="0" t="n">
        <v>-37.2119633670006</v>
      </c>
      <c r="F21" s="0" t="n">
        <v>-111.821390233223</v>
      </c>
      <c r="G21" s="0" t="n">
        <v>-182.469615561831</v>
      </c>
      <c r="H21" s="0" t="n">
        <v>-226.37631532979</v>
      </c>
      <c r="I21" s="0" t="n">
        <v>-183.94314363056</v>
      </c>
      <c r="J21" s="0" t="n">
        <v>-86.8477773346679</v>
      </c>
      <c r="K21" s="0" t="n">
        <v>-0.0955298093017736</v>
      </c>
      <c r="L21" s="0" t="n">
        <v>-0.0131615335114693</v>
      </c>
      <c r="M21" s="0" t="n">
        <v>2.91038304567337E-013</v>
      </c>
      <c r="N21" s="0" t="n">
        <v>3.63797880709171E-013</v>
      </c>
      <c r="O21" s="0" t="n">
        <v>1.89174897968769E-013</v>
      </c>
      <c r="P21" s="0" t="n">
        <v>-0.123872537258852</v>
      </c>
      <c r="Q21" s="0" t="n">
        <v>-46.906667545859</v>
      </c>
      <c r="R21" s="0" t="n">
        <v>-84.3943223067665</v>
      </c>
      <c r="S21" s="0" t="n">
        <v>-183.014959685773</v>
      </c>
      <c r="T21" s="0" t="n">
        <v>-216.688049009412</v>
      </c>
      <c r="U21" s="0" t="n">
        <v>-172.271293845623</v>
      </c>
      <c r="V21" s="0" t="n">
        <v>-29.5936847737346</v>
      </c>
      <c r="W21" s="0" t="n">
        <v>-0.486199951659248</v>
      </c>
      <c r="X21" s="0" t="n">
        <v>5.82076609134674E-014</v>
      </c>
      <c r="Y21" s="0" t="n">
        <v>2.5465851649642E-014</v>
      </c>
      <c r="Z21" s="0" t="n">
        <v>-1562.25990123869</v>
      </c>
    </row>
    <row r="22" customFormat="false" ht="15" hidden="false" customHeight="false" outlineLevel="0" collapsed="false">
      <c r="A22" s="0" t="s">
        <v>44</v>
      </c>
      <c r="B22" s="0" t="n">
        <f aca="false">SUM(B11:B12)</f>
        <v>0</v>
      </c>
      <c r="C22" s="0" t="n">
        <f aca="false">SUM(C11:C12)</f>
        <v>0</v>
      </c>
      <c r="D22" s="0" t="n">
        <f aca="false">SUM(D11:D12)</f>
        <v>0</v>
      </c>
      <c r="E22" s="0" t="n">
        <f aca="false">SUM(E11:E12)</f>
        <v>0</v>
      </c>
      <c r="F22" s="0" t="n">
        <f aca="false">SUM(F11:F12)</f>
        <v>0</v>
      </c>
      <c r="G22" s="0" t="n">
        <f aca="false">SUM(G11:G12)</f>
        <v>20.451713151906</v>
      </c>
      <c r="H22" s="0" t="n">
        <f aca="false">SUM(H11:H12)</f>
        <v>-166.936</v>
      </c>
      <c r="I22" s="0" t="n">
        <f aca="false">SUM(I11:I12)</f>
        <v>-58.41</v>
      </c>
      <c r="J22" s="0" t="n">
        <f aca="false">SUM(J11:J12)</f>
        <v>0</v>
      </c>
      <c r="K22" s="0" t="n">
        <f aca="false">SUM(K11:K12)</f>
        <v>0</v>
      </c>
      <c r="L22" s="0" t="n">
        <f aca="false">SUM(L11:L12)</f>
        <v>0</v>
      </c>
      <c r="M22" s="0" t="n">
        <f aca="false">SUM(M11:M12)</f>
        <v>0</v>
      </c>
      <c r="N22" s="0" t="n">
        <f aca="false">SUM(N11:N12)</f>
        <v>0</v>
      </c>
      <c r="O22" s="0" t="n">
        <f aca="false">SUM(O11:O12)</f>
        <v>0</v>
      </c>
      <c r="P22" s="0" t="n">
        <f aca="false">SUM(P11:P12)</f>
        <v>0</v>
      </c>
      <c r="Q22" s="0" t="n">
        <f aca="false">SUM(Q11:Q12)</f>
        <v>0</v>
      </c>
      <c r="R22" s="0" t="n">
        <f aca="false">SUM(R11:R12)</f>
        <v>8.49905904544329</v>
      </c>
      <c r="S22" s="0" t="n">
        <f aca="false">SUM(S11:S12)</f>
        <v>0</v>
      </c>
      <c r="T22" s="0" t="n">
        <f aca="false">SUM(T11:T12)</f>
        <v>-70.3</v>
      </c>
      <c r="U22" s="0" t="n">
        <f aca="false">SUM(U11:U12)</f>
        <v>38.9723302513592</v>
      </c>
      <c r="V22" s="0" t="n">
        <f aca="false">SUM(V11:V12)</f>
        <v>-12.1414280752992</v>
      </c>
      <c r="W22" s="0" t="n">
        <f aca="false">SUM(W11:W12)</f>
        <v>1.342</v>
      </c>
      <c r="X22" s="0" t="n">
        <f aca="false">SUM(X11:X12)</f>
        <v>0</v>
      </c>
      <c r="Y22" s="0" t="n">
        <f aca="false">SUM(Y11:Y12)</f>
        <v>0</v>
      </c>
      <c r="Z22" s="0" t="n">
        <f aca="false">SUM(Z11:Z12)</f>
        <v>-238.522325626591</v>
      </c>
    </row>
    <row r="23" customFormat="false" ht="13.8" hidden="false" customHeight="false" outlineLevel="0" collapsed="false">
      <c r="A23" s="0" t="s">
        <v>45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-9.32272515</v>
      </c>
      <c r="H23" s="0" t="n">
        <v>11.3974902</v>
      </c>
      <c r="I23" s="0" t="n">
        <v>-13.0005522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7.4682648</v>
      </c>
      <c r="S23" s="0" t="n">
        <v>0</v>
      </c>
      <c r="T23" s="0" t="n">
        <v>0</v>
      </c>
      <c r="U23" s="0" t="n">
        <v>-12.9350691</v>
      </c>
      <c r="V23" s="0" t="n">
        <v>0</v>
      </c>
      <c r="W23" s="0" t="n">
        <v>12.081843</v>
      </c>
      <c r="X23" s="0" t="n">
        <v>10.8095706</v>
      </c>
      <c r="Y23" s="0" t="n">
        <v>0</v>
      </c>
      <c r="Z23" s="0" t="n">
        <v>6.49882215</v>
      </c>
    </row>
    <row r="24" customFormat="false" ht="15" hidden="false" customHeight="false" outlineLevel="0" collapsed="false">
      <c r="A24" s="0" t="s">
        <v>46</v>
      </c>
      <c r="B24" s="0" t="n">
        <f aca="false">SUM(B14:B15)</f>
        <v>0</v>
      </c>
      <c r="C24" s="0" t="n">
        <f aca="false">SUM(C14:C15)</f>
        <v>0</v>
      </c>
      <c r="D24" s="0" t="n">
        <f aca="false">SUM(D14:D15)</f>
        <v>0</v>
      </c>
      <c r="E24" s="0" t="n">
        <f aca="false">SUM(E14:E15)</f>
        <v>0</v>
      </c>
      <c r="F24" s="0" t="n">
        <f aca="false">SUM(F14:F15)</f>
        <v>-93.8844104216735</v>
      </c>
      <c r="G24" s="0" t="n">
        <f aca="false">SUM(G14:G15)</f>
        <v>-248.308751733333</v>
      </c>
      <c r="H24" s="0" t="n">
        <f aca="false">SUM(H14:H15)</f>
        <v>-85.0442777337699</v>
      </c>
      <c r="I24" s="0" t="n">
        <f aca="false">SUM(I14:I15)</f>
        <v>-101.737338100263</v>
      </c>
      <c r="J24" s="0" t="n">
        <f aca="false">SUM(J14:J15)</f>
        <v>0</v>
      </c>
      <c r="K24" s="0" t="n">
        <f aca="false">SUM(K14:K15)</f>
        <v>0</v>
      </c>
      <c r="L24" s="0" t="n">
        <f aca="false">SUM(L14:L15)</f>
        <v>0</v>
      </c>
      <c r="M24" s="0" t="n">
        <f aca="false">SUM(M14:M15)</f>
        <v>0</v>
      </c>
      <c r="N24" s="0" t="n">
        <f aca="false">SUM(N14:N15)</f>
        <v>0</v>
      </c>
      <c r="O24" s="0" t="n">
        <f aca="false">SUM(O14:O15)</f>
        <v>0</v>
      </c>
      <c r="P24" s="0" t="n">
        <f aca="false">SUM(P14:P15)</f>
        <v>0</v>
      </c>
      <c r="Q24" s="0" t="n">
        <f aca="false">SUM(Q14:Q15)</f>
        <v>0</v>
      </c>
      <c r="R24" s="0" t="n">
        <f aca="false">SUM(R14:R15)</f>
        <v>-182.609694624793</v>
      </c>
      <c r="S24" s="0" t="n">
        <f aca="false">SUM(S14:S15)</f>
        <v>-232.822333609954</v>
      </c>
      <c r="T24" s="0" t="n">
        <f aca="false">SUM(T14:T15)</f>
        <v>-156.266911011383</v>
      </c>
      <c r="U24" s="0" t="n">
        <f aca="false">SUM(U14:U15)</f>
        <v>-204.19397480977</v>
      </c>
      <c r="V24" s="0" t="n">
        <f aca="false">SUM(V14:V15)</f>
        <v>-57.7718892093573</v>
      </c>
      <c r="W24" s="0" t="n">
        <f aca="false">SUM(W14:W15)</f>
        <v>-15.3952854377422</v>
      </c>
      <c r="X24" s="0" t="n">
        <f aca="false">SUM(X14:X15)</f>
        <v>-10.8095705999999</v>
      </c>
      <c r="Y24" s="0" t="n">
        <f aca="false">SUM(Y14:Y15)</f>
        <v>0</v>
      </c>
      <c r="Z24" s="0" t="n">
        <f aca="false">SUM(Z14:Z15)</f>
        <v>-1388.84443729204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O56"/>
  <sheetViews>
    <sheetView showFormulas="false" showGridLines="true" showRowColHeaders="true" showZeros="true" rightToLeft="false" tabSelected="true" showOutlineSymbols="true" defaultGridColor="true" view="normal" topLeftCell="D34" colorId="64" zoomScale="150" zoomScaleNormal="150" zoomScalePageLayoutView="100" workbookViewId="0">
      <selection pane="topLeft" activeCell="F32" activeCellId="0" sqref="F32:M56"/>
    </sheetView>
  </sheetViews>
  <sheetFormatPr defaultColWidth="11.55078125" defaultRowHeight="13.8" zeroHeight="false" outlineLevelRow="0" outlineLevelCol="0"/>
  <sheetData>
    <row r="3" customFormat="false" ht="13.8" hidden="false" customHeight="false" outlineLevel="0" collapsed="false">
      <c r="B3" s="0" t="s">
        <v>39</v>
      </c>
      <c r="C3" s="0" t="s">
        <v>40</v>
      </c>
      <c r="D3" s="0" t="s">
        <v>47</v>
      </c>
      <c r="E3" s="0" t="s">
        <v>41</v>
      </c>
      <c r="F3" s="0" t="s">
        <v>42</v>
      </c>
      <c r="G3" s="0" t="s">
        <v>43</v>
      </c>
      <c r="H3" s="0" t="s">
        <v>48</v>
      </c>
      <c r="I3" s="0" t="s">
        <v>49</v>
      </c>
      <c r="J3" s="0" t="s">
        <v>50</v>
      </c>
      <c r="K3" s="0" t="s">
        <v>44</v>
      </c>
      <c r="L3" s="0" t="s">
        <v>51</v>
      </c>
      <c r="M3" s="0" t="s">
        <v>45</v>
      </c>
      <c r="N3" s="0" t="s">
        <v>52</v>
      </c>
      <c r="O3" s="0" t="s">
        <v>53</v>
      </c>
    </row>
    <row r="4" customFormat="false" ht="13.8" hidden="false" customHeight="false" outlineLevel="0" collapsed="false">
      <c r="B4" s="0" t="s">
        <v>5</v>
      </c>
      <c r="C4" s="0" t="n">
        <v>0</v>
      </c>
      <c r="D4" s="0" t="n">
        <v>-2.36468622460961E-014</v>
      </c>
      <c r="E4" s="0" t="n">
        <v>0</v>
      </c>
      <c r="F4" s="0" t="n">
        <v>0</v>
      </c>
      <c r="G4" s="0" t="n">
        <v>5.82076609134674E-014</v>
      </c>
      <c r="H4" s="0" t="n">
        <v>0</v>
      </c>
      <c r="I4" s="0" t="n">
        <f aca="false">C4+G4</f>
        <v>5.82076609134674E-014</v>
      </c>
      <c r="J4" s="0" t="n">
        <f aca="false">D4+E4+H4</f>
        <v>-2.36468622460961E-014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</row>
    <row r="5" customFormat="false" ht="13.8" hidden="false" customHeight="false" outlineLevel="0" collapsed="false">
      <c r="B5" s="0" t="s">
        <v>6</v>
      </c>
      <c r="C5" s="0" t="n">
        <v>1.36424205265939E-013</v>
      </c>
      <c r="D5" s="0" t="n">
        <v>0</v>
      </c>
      <c r="E5" s="0" t="n">
        <v>0</v>
      </c>
      <c r="F5" s="0" t="n">
        <v>-1.81898940354586E-015</v>
      </c>
      <c r="G5" s="0" t="n">
        <v>5.82076609134674E-014</v>
      </c>
      <c r="H5" s="0" t="n">
        <v>0</v>
      </c>
      <c r="I5" s="0" t="n">
        <f aca="false">C5+G5</f>
        <v>1.94631866179406E-013</v>
      </c>
      <c r="J5" s="0" t="n">
        <f aca="false">D5+E5+H5</f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</row>
    <row r="6" customFormat="false" ht="13.8" hidden="false" customHeight="false" outlineLevel="0" collapsed="false">
      <c r="B6" s="0" t="s">
        <v>7</v>
      </c>
      <c r="C6" s="0" t="n">
        <v>0</v>
      </c>
      <c r="D6" s="0" t="n">
        <v>-0.0142732104398201</v>
      </c>
      <c r="E6" s="0" t="n">
        <v>0</v>
      </c>
      <c r="F6" s="0" t="n">
        <v>-0.000129651031120375</v>
      </c>
      <c r="G6" s="0" t="n">
        <v>0</v>
      </c>
      <c r="H6" s="0" t="n">
        <v>-0.00195478272007313</v>
      </c>
      <c r="I6" s="0" t="n">
        <f aca="false">C6+G6</f>
        <v>0</v>
      </c>
      <c r="J6" s="0" t="n">
        <f aca="false">D6+E6+H6</f>
        <v>-0.0162279931598932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</row>
    <row r="7" customFormat="false" ht="13.8" hidden="false" customHeight="false" outlineLevel="0" collapsed="false">
      <c r="B7" s="0" t="s">
        <v>8</v>
      </c>
      <c r="C7" s="0" t="n">
        <v>0</v>
      </c>
      <c r="D7" s="0" t="n">
        <v>-23.9026588732305</v>
      </c>
      <c r="E7" s="0" t="n">
        <v>0</v>
      </c>
      <c r="F7" s="0" t="n">
        <v>-0.488265783172748</v>
      </c>
      <c r="G7" s="0" t="n">
        <v>0</v>
      </c>
      <c r="H7" s="0" t="n">
        <v>-37.2119633670006</v>
      </c>
      <c r="I7" s="0" t="n">
        <f aca="false">C7+G7</f>
        <v>0</v>
      </c>
      <c r="J7" s="0" t="n">
        <f aca="false">D7+E7+H7</f>
        <v>-61.1146222402311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</row>
    <row r="8" customFormat="false" ht="13.8" hidden="false" customHeight="false" outlineLevel="0" collapsed="false">
      <c r="B8" s="0" t="s">
        <v>9</v>
      </c>
      <c r="C8" s="0" t="n">
        <v>0</v>
      </c>
      <c r="D8" s="0" t="n">
        <v>-36.4972285741281</v>
      </c>
      <c r="E8" s="0" t="n">
        <v>-45.797300675</v>
      </c>
      <c r="F8" s="0" t="n">
        <v>-36.713370520348</v>
      </c>
      <c r="G8" s="0" t="n">
        <v>0</v>
      </c>
      <c r="H8" s="0" t="n">
        <v>-111.821390233223</v>
      </c>
      <c r="I8" s="0" t="n">
        <f aca="false">C8+G8</f>
        <v>0</v>
      </c>
      <c r="J8" s="0" t="n">
        <f aca="false">D8+E8+H8</f>
        <v>-194.115919482351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-93.8844104216735</v>
      </c>
    </row>
    <row r="9" customFormat="false" ht="13.8" hidden="false" customHeight="false" outlineLevel="0" collapsed="false">
      <c r="B9" s="0" t="s">
        <v>10</v>
      </c>
      <c r="C9" s="0" t="n">
        <v>0</v>
      </c>
      <c r="D9" s="0" t="n">
        <v>-12.0064698745359</v>
      </c>
      <c r="E9" s="0" t="n">
        <v>-38.83977785</v>
      </c>
      <c r="F9" s="0" t="n">
        <v>-3.87959084814604</v>
      </c>
      <c r="G9" s="0" t="n">
        <v>0</v>
      </c>
      <c r="H9" s="0" t="n">
        <v>-182.469615561831</v>
      </c>
      <c r="I9" s="0" t="n">
        <f aca="false">C9+G9</f>
        <v>0</v>
      </c>
      <c r="J9" s="0" t="n">
        <f aca="false">D9+E9+H9</f>
        <v>-233.315863286367</v>
      </c>
      <c r="K9" s="0" t="n">
        <v>20.451713151906</v>
      </c>
      <c r="L9" s="0" t="n">
        <v>0</v>
      </c>
      <c r="M9" s="0" t="n">
        <v>0</v>
      </c>
      <c r="N9" s="0" t="n">
        <v>-9.32272515</v>
      </c>
      <c r="O9" s="0" t="n">
        <v>-248.308751733333</v>
      </c>
    </row>
    <row r="10" customFormat="false" ht="13.8" hidden="false" customHeight="false" outlineLevel="0" collapsed="false">
      <c r="B10" s="0" t="s">
        <v>11</v>
      </c>
      <c r="C10" s="0" t="n">
        <v>0</v>
      </c>
      <c r="D10" s="0" t="n">
        <v>0</v>
      </c>
      <c r="E10" s="0" t="n">
        <v>-25.6037858255385</v>
      </c>
      <c r="F10" s="0" t="n">
        <v>-3.93525470324011</v>
      </c>
      <c r="G10" s="0" t="n">
        <v>0</v>
      </c>
      <c r="H10" s="0" t="n">
        <v>-226.37631532979</v>
      </c>
      <c r="I10" s="0" t="n">
        <f aca="false">C10+G10</f>
        <v>0</v>
      </c>
      <c r="J10" s="0" t="n">
        <f aca="false">D10+E10+H10</f>
        <v>-251.980101155329</v>
      </c>
      <c r="K10" s="0" t="n">
        <v>0</v>
      </c>
      <c r="L10" s="0" t="n">
        <v>-166.936</v>
      </c>
      <c r="M10" s="0" t="n">
        <v>11.3974902</v>
      </c>
      <c r="N10" s="0" t="n">
        <v>0</v>
      </c>
      <c r="O10" s="0" t="n">
        <v>-85.0442777337699</v>
      </c>
    </row>
    <row r="11" customFormat="false" ht="13.8" hidden="false" customHeight="false" outlineLevel="0" collapsed="false">
      <c r="B11" s="0" t="s">
        <v>12</v>
      </c>
      <c r="C11" s="0" t="n">
        <v>0</v>
      </c>
      <c r="D11" s="0" t="n">
        <v>0</v>
      </c>
      <c r="E11" s="0" t="n">
        <v>-17.1187018306535</v>
      </c>
      <c r="F11" s="0" t="n">
        <v>-7.94297856714366</v>
      </c>
      <c r="G11" s="0" t="n">
        <v>0</v>
      </c>
      <c r="H11" s="0" t="n">
        <v>-183.94314363056</v>
      </c>
      <c r="I11" s="0" t="n">
        <f aca="false">C11+G11</f>
        <v>0</v>
      </c>
      <c r="J11" s="0" t="n">
        <f aca="false">D11+E11+H11</f>
        <v>-201.061845461213</v>
      </c>
      <c r="K11" s="0" t="n">
        <v>0</v>
      </c>
      <c r="L11" s="0" t="n">
        <v>-58.41</v>
      </c>
      <c r="M11" s="0" t="n">
        <v>0</v>
      </c>
      <c r="N11" s="0" t="n">
        <v>-13.0005522</v>
      </c>
      <c r="O11" s="0" t="n">
        <v>-101.737338100263</v>
      </c>
    </row>
    <row r="12" customFormat="false" ht="13.8" hidden="false" customHeight="false" outlineLevel="0" collapsed="false">
      <c r="B12" s="0" t="s">
        <v>13</v>
      </c>
      <c r="C12" s="0" t="n">
        <v>0</v>
      </c>
      <c r="D12" s="0" t="n">
        <v>0</v>
      </c>
      <c r="E12" s="0" t="n">
        <v>-32.8931964985984</v>
      </c>
      <c r="F12" s="0" t="n">
        <v>-0.956651914442826</v>
      </c>
      <c r="G12" s="0" t="n">
        <v>0</v>
      </c>
      <c r="H12" s="0" t="n">
        <v>-86.8477773346679</v>
      </c>
      <c r="I12" s="0" t="n">
        <f aca="false">C12+G12</f>
        <v>0</v>
      </c>
      <c r="J12" s="0" t="n">
        <f aca="false">D12+E12+H12</f>
        <v>-119.740973833266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</row>
    <row r="13" customFormat="false" ht="13.8" hidden="false" customHeight="false" outlineLevel="0" collapsed="false">
      <c r="B13" s="0" t="s">
        <v>14</v>
      </c>
      <c r="C13" s="0" t="n">
        <v>0</v>
      </c>
      <c r="D13" s="0" t="n">
        <v>-0.0613624285678052</v>
      </c>
      <c r="E13" s="0" t="n">
        <v>0</v>
      </c>
      <c r="F13" s="0" t="n">
        <v>-0.00125346616880233</v>
      </c>
      <c r="G13" s="0" t="n">
        <v>0</v>
      </c>
      <c r="H13" s="0" t="n">
        <v>-0.0955298093017736</v>
      </c>
      <c r="I13" s="0" t="n">
        <f aca="false">C13+G13</f>
        <v>0</v>
      </c>
      <c r="J13" s="0" t="n">
        <f aca="false">D13+E13+H13</f>
        <v>-0.156892237869579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</row>
    <row r="14" customFormat="false" ht="13.8" hidden="false" customHeight="false" outlineLevel="0" collapsed="false">
      <c r="B14" s="0" t="s">
        <v>15</v>
      </c>
      <c r="C14" s="0" t="n">
        <v>0</v>
      </c>
      <c r="D14" s="0" t="n">
        <v>-0.00845415337770828</v>
      </c>
      <c r="E14" s="0" t="n">
        <v>0</v>
      </c>
      <c r="F14" s="0" t="n">
        <v>-0.000172695173449029</v>
      </c>
      <c r="G14" s="0" t="n">
        <v>0</v>
      </c>
      <c r="H14" s="0" t="n">
        <v>-0.0131615335114693</v>
      </c>
      <c r="I14" s="0" t="n">
        <f aca="false">C14+G14</f>
        <v>0</v>
      </c>
      <c r="J14" s="0" t="n">
        <f aca="false">D14+E14+H14</f>
        <v>-0.0216156868891776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</row>
    <row r="15" customFormat="false" ht="13.8" hidden="false" customHeight="false" outlineLevel="0" collapsed="false">
      <c r="B15" s="0" t="s">
        <v>16</v>
      </c>
      <c r="C15" s="0" t="n">
        <v>0</v>
      </c>
      <c r="D15" s="0" t="n">
        <v>-3.63797880709171E-013</v>
      </c>
      <c r="E15" s="0" t="n">
        <v>0</v>
      </c>
      <c r="F15" s="0" t="n">
        <v>-9.09494701772928E-015</v>
      </c>
      <c r="G15" s="0" t="n">
        <v>2.91038304567337E-013</v>
      </c>
      <c r="H15" s="0" t="n">
        <v>0</v>
      </c>
      <c r="I15" s="0" t="n">
        <f aca="false">C15+G15</f>
        <v>2.91038304567337E-013</v>
      </c>
      <c r="J15" s="0" t="n">
        <f aca="false">D15+E15+H15</f>
        <v>-3.63797880709171E-013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</row>
    <row r="16" customFormat="false" ht="13.8" hidden="false" customHeight="false" outlineLevel="0" collapsed="false">
      <c r="B16" s="0" t="s">
        <v>17</v>
      </c>
      <c r="C16" s="0" t="n">
        <v>0</v>
      </c>
      <c r="D16" s="0" t="n">
        <v>-1.81898940354586E-013</v>
      </c>
      <c r="E16" s="0" t="n">
        <v>0</v>
      </c>
      <c r="F16" s="0" t="n">
        <v>-5.45696821063757E-015</v>
      </c>
      <c r="G16" s="0" t="n">
        <v>3.63797880709171E-013</v>
      </c>
      <c r="H16" s="0" t="n">
        <v>0</v>
      </c>
      <c r="I16" s="0" t="n">
        <f aca="false">C16+G16</f>
        <v>3.63797880709171E-013</v>
      </c>
      <c r="J16" s="0" t="n">
        <f aca="false">D16+E16+H16</f>
        <v>-1.81898940354586E-013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</row>
    <row r="17" customFormat="false" ht="13.8" hidden="false" customHeight="false" outlineLevel="0" collapsed="false">
      <c r="B17" s="0" t="s">
        <v>18</v>
      </c>
      <c r="C17" s="0" t="n">
        <v>0</v>
      </c>
      <c r="D17" s="0" t="n">
        <v>-1.30967237055302E-013</v>
      </c>
      <c r="E17" s="0" t="n">
        <v>0</v>
      </c>
      <c r="F17" s="0" t="n">
        <v>-3.63797880709171E-015</v>
      </c>
      <c r="G17" s="0" t="n">
        <v>1.89174897968769E-013</v>
      </c>
      <c r="H17" s="0" t="n">
        <v>0</v>
      </c>
      <c r="I17" s="0" t="n">
        <f aca="false">C17+G17</f>
        <v>1.89174897968769E-013</v>
      </c>
      <c r="J17" s="0" t="n">
        <f aca="false">D17+E17+H17</f>
        <v>-1.30967237055302E-013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</row>
    <row r="18" customFormat="false" ht="13.8" hidden="false" customHeight="false" outlineLevel="0" collapsed="false">
      <c r="B18" s="0" t="s">
        <v>19</v>
      </c>
      <c r="C18" s="0" t="n">
        <v>0</v>
      </c>
      <c r="D18" s="0" t="n">
        <v>-0.0795680403280858</v>
      </c>
      <c r="E18" s="0" t="n">
        <v>0</v>
      </c>
      <c r="F18" s="0" t="n">
        <v>-0.0016253568999291</v>
      </c>
      <c r="G18" s="0" t="n">
        <v>0</v>
      </c>
      <c r="H18" s="0" t="n">
        <v>-0.123872537258852</v>
      </c>
      <c r="I18" s="0" t="n">
        <f aca="false">C18+G18</f>
        <v>0</v>
      </c>
      <c r="J18" s="0" t="n">
        <f aca="false">D18+E18+H18</f>
        <v>-0.203440577586938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</row>
    <row r="19" customFormat="false" ht="13.8" hidden="false" customHeight="false" outlineLevel="0" collapsed="false">
      <c r="B19" s="0" t="s">
        <v>20</v>
      </c>
      <c r="C19" s="0" t="n">
        <v>0</v>
      </c>
      <c r="D19" s="0" t="n">
        <v>-30.1961100173937</v>
      </c>
      <c r="E19" s="0" t="n">
        <v>0</v>
      </c>
      <c r="F19" s="0" t="n">
        <v>-0.719844347113643</v>
      </c>
      <c r="G19" s="0" t="n">
        <v>0</v>
      </c>
      <c r="H19" s="0" t="n">
        <v>-46.906667545859</v>
      </c>
      <c r="I19" s="0" t="n">
        <f aca="false">C19+G19</f>
        <v>0</v>
      </c>
      <c r="J19" s="0" t="n">
        <f aca="false">D19+E19+H19</f>
        <v>-77.1027775632527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</row>
    <row r="20" customFormat="false" ht="13.8" hidden="false" customHeight="false" outlineLevel="0" collapsed="false">
      <c r="B20" s="0" t="s">
        <v>21</v>
      </c>
      <c r="C20" s="0" t="n">
        <v>0</v>
      </c>
      <c r="D20" s="0" t="n">
        <v>-59.0394296835757</v>
      </c>
      <c r="E20" s="0" t="n">
        <v>-16.00309612</v>
      </c>
      <c r="F20" s="0" t="n">
        <v>-2.72579838354591</v>
      </c>
      <c r="G20" s="0" t="n">
        <v>0</v>
      </c>
      <c r="H20" s="0" t="n">
        <v>-84.3943223067665</v>
      </c>
      <c r="I20" s="0" t="n">
        <f aca="false">C20+G20</f>
        <v>0</v>
      </c>
      <c r="J20" s="0" t="n">
        <f aca="false">D20+E20+H20</f>
        <v>-159.436848110342</v>
      </c>
      <c r="K20" s="0" t="n">
        <v>8.49905904544329</v>
      </c>
      <c r="L20" s="0" t="n">
        <v>0</v>
      </c>
      <c r="M20" s="0" t="n">
        <v>7.4682648</v>
      </c>
      <c r="N20" s="0" t="n">
        <v>0</v>
      </c>
      <c r="O20" s="0" t="n">
        <v>-182.609694624793</v>
      </c>
    </row>
    <row r="21" customFormat="false" ht="13.8" hidden="false" customHeight="false" outlineLevel="0" collapsed="false">
      <c r="B21" s="0" t="s">
        <v>22</v>
      </c>
      <c r="C21" s="0" t="n">
        <v>0</v>
      </c>
      <c r="D21" s="0" t="n">
        <v>-29.4638438371355</v>
      </c>
      <c r="E21" s="0" t="n">
        <v>-16.27320175</v>
      </c>
      <c r="F21" s="0" t="n">
        <v>-3.8083156020848</v>
      </c>
      <c r="G21" s="0" t="n">
        <v>0</v>
      </c>
      <c r="H21" s="0" t="n">
        <v>-183.014959685773</v>
      </c>
      <c r="I21" s="0" t="n">
        <f aca="false">C21+G21</f>
        <v>0</v>
      </c>
      <c r="J21" s="0" t="n">
        <f aca="false">D21+E21+H21</f>
        <v>-228.752005272908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-232.822333609954</v>
      </c>
    </row>
    <row r="22" customFormat="false" ht="13.8" hidden="false" customHeight="false" outlineLevel="0" collapsed="false">
      <c r="B22" s="0" t="s">
        <v>23</v>
      </c>
      <c r="C22" s="0" t="n">
        <v>0</v>
      </c>
      <c r="D22" s="0" t="n">
        <v>0</v>
      </c>
      <c r="E22" s="0" t="n">
        <v>-16.380132085</v>
      </c>
      <c r="F22" s="0" t="n">
        <v>-3.70599456135646</v>
      </c>
      <c r="G22" s="0" t="n">
        <v>0</v>
      </c>
      <c r="H22" s="0" t="n">
        <v>-216.688049009412</v>
      </c>
      <c r="I22" s="0" t="n">
        <f aca="false">C22+G22</f>
        <v>0</v>
      </c>
      <c r="J22" s="0" t="n">
        <f aca="false">D22+E22+H22</f>
        <v>-233.068181094412</v>
      </c>
      <c r="K22" s="0" t="n">
        <v>0</v>
      </c>
      <c r="L22" s="0" t="n">
        <v>-70.3</v>
      </c>
      <c r="M22" s="0" t="n">
        <v>0</v>
      </c>
      <c r="N22" s="0" t="n">
        <v>0</v>
      </c>
      <c r="O22" s="0" t="n">
        <v>-156.266911011383</v>
      </c>
    </row>
    <row r="23" customFormat="false" ht="13.8" hidden="false" customHeight="false" outlineLevel="0" collapsed="false">
      <c r="B23" s="0" t="s">
        <v>24</v>
      </c>
      <c r="C23" s="0" t="n">
        <v>0</v>
      </c>
      <c r="D23" s="0" t="n">
        <v>0</v>
      </c>
      <c r="E23" s="0" t="n">
        <v>-14.3253749740272</v>
      </c>
      <c r="F23" s="0" t="n">
        <v>-2.91414050242331</v>
      </c>
      <c r="G23" s="0" t="n">
        <v>0</v>
      </c>
      <c r="H23" s="0" t="n">
        <v>-172.271293845623</v>
      </c>
      <c r="I23" s="0" t="n">
        <f aca="false">C23+G23</f>
        <v>0</v>
      </c>
      <c r="J23" s="0" t="n">
        <f aca="false">D23+E23+H23</f>
        <v>-186.59666881965</v>
      </c>
      <c r="K23" s="0" t="n">
        <v>38.9723302513592</v>
      </c>
      <c r="L23" s="0" t="n">
        <v>0</v>
      </c>
      <c r="M23" s="0" t="n">
        <v>0</v>
      </c>
      <c r="N23" s="0" t="n">
        <v>-12.9350691</v>
      </c>
      <c r="O23" s="0" t="n">
        <v>-204.19397480977</v>
      </c>
    </row>
    <row r="24" customFormat="false" ht="13.8" hidden="false" customHeight="false" outlineLevel="0" collapsed="false">
      <c r="B24" s="0" t="s">
        <v>25</v>
      </c>
      <c r="C24" s="0" t="n">
        <v>0</v>
      </c>
      <c r="D24" s="0" t="n">
        <v>-12.5627029827925</v>
      </c>
      <c r="E24" s="0" t="n">
        <v>-15.968986935</v>
      </c>
      <c r="F24" s="0" t="n">
        <v>-1.1435843498361</v>
      </c>
      <c r="G24" s="0" t="n">
        <v>0</v>
      </c>
      <c r="H24" s="0" t="n">
        <v>-29.5936847737346</v>
      </c>
      <c r="I24" s="0" t="n">
        <f aca="false">C24+G24</f>
        <v>0</v>
      </c>
      <c r="J24" s="0" t="n">
        <f aca="false">D24+E24+H24</f>
        <v>-58.1253746915271</v>
      </c>
      <c r="K24" s="0" t="n">
        <v>0</v>
      </c>
      <c r="L24" s="0" t="n">
        <v>-12.1414280752992</v>
      </c>
      <c r="M24" s="0" t="n">
        <v>0</v>
      </c>
      <c r="N24" s="0" t="n">
        <v>0</v>
      </c>
      <c r="O24" s="0" t="n">
        <v>-57.7718892093573</v>
      </c>
    </row>
    <row r="25" customFormat="false" ht="13.8" hidden="false" customHeight="false" outlineLevel="0" collapsed="false">
      <c r="B25" s="0" t="s">
        <v>26</v>
      </c>
      <c r="C25" s="0" t="n">
        <v>0</v>
      </c>
      <c r="D25" s="0" t="n">
        <v>-1.57863714652487</v>
      </c>
      <c r="E25" s="0" t="n">
        <v>0</v>
      </c>
      <c r="F25" s="0" t="n">
        <v>-0.0322472285104923</v>
      </c>
      <c r="G25" s="0" t="n">
        <v>0</v>
      </c>
      <c r="H25" s="0" t="n">
        <v>-0.486199951659248</v>
      </c>
      <c r="I25" s="0" t="n">
        <f aca="false">C25+G25</f>
        <v>0</v>
      </c>
      <c r="J25" s="0" t="n">
        <f aca="false">D25+E25+H25</f>
        <v>-2.06483709818412</v>
      </c>
      <c r="K25" s="0" t="n">
        <v>1.342</v>
      </c>
      <c r="L25" s="0" t="n">
        <v>0</v>
      </c>
      <c r="M25" s="0" t="n">
        <v>12.081843</v>
      </c>
      <c r="N25" s="0" t="n">
        <v>0</v>
      </c>
      <c r="O25" s="0" t="n">
        <v>-15.3952854377422</v>
      </c>
    </row>
    <row r="26" customFormat="false" ht="13.8" hidden="false" customHeight="false" outlineLevel="0" collapsed="false">
      <c r="B26" s="0" t="s">
        <v>27</v>
      </c>
      <c r="C26" s="0" t="n">
        <v>0</v>
      </c>
      <c r="D26" s="0" t="n">
        <v>-5.82076609134674E-014</v>
      </c>
      <c r="E26" s="0" t="n">
        <v>0</v>
      </c>
      <c r="F26" s="0" t="n">
        <v>0</v>
      </c>
      <c r="G26" s="0" t="n">
        <v>5.82076609134674E-014</v>
      </c>
      <c r="H26" s="0" t="n">
        <v>0</v>
      </c>
      <c r="I26" s="0" t="n">
        <f aca="false">C26+G26</f>
        <v>5.82076609134674E-014</v>
      </c>
      <c r="J26" s="0" t="n">
        <f aca="false">D26+E26+H26</f>
        <v>-5.82076609134674E-014</v>
      </c>
      <c r="K26" s="0" t="n">
        <v>0</v>
      </c>
      <c r="L26" s="0" t="n">
        <v>0</v>
      </c>
      <c r="M26" s="0" t="n">
        <v>10.8095706</v>
      </c>
      <c r="N26" s="0" t="n">
        <v>0</v>
      </c>
      <c r="O26" s="0" t="n">
        <v>-10.8095705999999</v>
      </c>
    </row>
    <row r="27" customFormat="false" ht="13.8" hidden="false" customHeight="false" outlineLevel="0" collapsed="false">
      <c r="B27" s="0" t="s">
        <v>28</v>
      </c>
      <c r="C27" s="0" t="n">
        <v>0</v>
      </c>
      <c r="D27" s="0" t="n">
        <v>-1.45519152283669E-013</v>
      </c>
      <c r="E27" s="0" t="n">
        <v>0</v>
      </c>
      <c r="F27" s="0" t="n">
        <v>-3.63797880709171E-015</v>
      </c>
      <c r="G27" s="0" t="n">
        <v>2.5465851649642E-014</v>
      </c>
      <c r="H27" s="0" t="n">
        <v>0</v>
      </c>
      <c r="I27" s="0" t="n">
        <f aca="false">C27+G27</f>
        <v>2.5465851649642E-014</v>
      </c>
      <c r="J27" s="0" t="n">
        <f aca="false">D27+E27+H27</f>
        <v>-1.45519152283669E-013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</row>
    <row r="32" customFormat="false" ht="13.8" hidden="false" customHeight="false" outlineLevel="0" collapsed="false">
      <c r="F32" s="0" t="s">
        <v>39</v>
      </c>
      <c r="G32" s="0" t="s">
        <v>49</v>
      </c>
      <c r="H32" s="0" t="s">
        <v>50</v>
      </c>
      <c r="I32" s="0" t="s">
        <v>44</v>
      </c>
      <c r="J32" s="0" t="s">
        <v>51</v>
      </c>
      <c r="K32" s="0" t="s">
        <v>45</v>
      </c>
      <c r="L32" s="0" t="s">
        <v>52</v>
      </c>
      <c r="M32" s="0" t="s">
        <v>53</v>
      </c>
    </row>
    <row r="33" customFormat="false" ht="13.8" hidden="false" customHeight="false" outlineLevel="0" collapsed="false">
      <c r="F33" s="0" t="s">
        <v>5</v>
      </c>
      <c r="G33" s="0" t="n">
        <v>5.82076609134674E-014</v>
      </c>
      <c r="H33" s="0" t="n">
        <v>-2.36468622460961E-014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3.8" hidden="false" customHeight="false" outlineLevel="0" collapsed="false">
      <c r="F34" s="0" t="s">
        <v>6</v>
      </c>
      <c r="G34" s="0" t="n">
        <v>1.94631866179406E-013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3.8" hidden="false" customHeight="false" outlineLevel="0" collapsed="false">
      <c r="F35" s="0" t="s">
        <v>7</v>
      </c>
      <c r="G35" s="0" t="n">
        <v>0</v>
      </c>
      <c r="H35" s="0" t="n">
        <v>-0.0162279931598932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3.8" hidden="false" customHeight="false" outlineLevel="0" collapsed="false">
      <c r="F36" s="0" t="s">
        <v>8</v>
      </c>
      <c r="G36" s="0" t="n">
        <v>0</v>
      </c>
      <c r="H36" s="0" t="n">
        <v>-61.1146222402311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3.8" hidden="false" customHeight="false" outlineLevel="0" collapsed="false">
      <c r="F37" s="0" t="s">
        <v>9</v>
      </c>
      <c r="G37" s="0" t="n">
        <v>0</v>
      </c>
      <c r="H37" s="0" t="n">
        <v>-194.115919482351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-93.8844104216735</v>
      </c>
    </row>
    <row r="38" customFormat="false" ht="13.8" hidden="false" customHeight="false" outlineLevel="0" collapsed="false">
      <c r="F38" s="0" t="s">
        <v>10</v>
      </c>
      <c r="G38" s="0" t="n">
        <v>0</v>
      </c>
      <c r="H38" s="0" t="n">
        <v>-233.315863286367</v>
      </c>
      <c r="I38" s="0" t="n">
        <v>20.451713151906</v>
      </c>
      <c r="J38" s="0" t="n">
        <v>0</v>
      </c>
      <c r="K38" s="0" t="n">
        <v>0</v>
      </c>
      <c r="L38" s="0" t="n">
        <v>-9.32272515</v>
      </c>
      <c r="M38" s="0" t="n">
        <v>-248.308751733333</v>
      </c>
    </row>
    <row r="39" customFormat="false" ht="13.8" hidden="false" customHeight="false" outlineLevel="0" collapsed="false">
      <c r="F39" s="0" t="s">
        <v>11</v>
      </c>
      <c r="G39" s="0" t="n">
        <v>0</v>
      </c>
      <c r="H39" s="0" t="n">
        <v>-251.980101155329</v>
      </c>
      <c r="I39" s="0" t="n">
        <v>0</v>
      </c>
      <c r="J39" s="0" t="n">
        <v>-166.936</v>
      </c>
      <c r="K39" s="0" t="n">
        <v>11.3974902</v>
      </c>
      <c r="L39" s="0" t="n">
        <v>0</v>
      </c>
      <c r="M39" s="0" t="n">
        <v>-85.0442777337699</v>
      </c>
    </row>
    <row r="40" customFormat="false" ht="13.8" hidden="false" customHeight="false" outlineLevel="0" collapsed="false">
      <c r="F40" s="0" t="s">
        <v>12</v>
      </c>
      <c r="G40" s="0" t="n">
        <v>0</v>
      </c>
      <c r="H40" s="0" t="n">
        <v>-201.061845461213</v>
      </c>
      <c r="I40" s="0" t="n">
        <v>0</v>
      </c>
      <c r="J40" s="0" t="n">
        <v>-58.41</v>
      </c>
      <c r="K40" s="0" t="n">
        <v>0</v>
      </c>
      <c r="L40" s="0" t="n">
        <v>-13.0005522</v>
      </c>
      <c r="M40" s="0" t="n">
        <v>-101.737338100263</v>
      </c>
    </row>
    <row r="41" customFormat="false" ht="13.8" hidden="false" customHeight="false" outlineLevel="0" collapsed="false">
      <c r="F41" s="0" t="s">
        <v>13</v>
      </c>
      <c r="G41" s="0" t="n">
        <v>0</v>
      </c>
      <c r="H41" s="0" t="n">
        <v>-119.740973833266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3.8" hidden="false" customHeight="false" outlineLevel="0" collapsed="false">
      <c r="F42" s="0" t="s">
        <v>14</v>
      </c>
      <c r="G42" s="0" t="n">
        <v>0</v>
      </c>
      <c r="H42" s="0" t="n">
        <v>-0.156892237869579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3.8" hidden="false" customHeight="false" outlineLevel="0" collapsed="false">
      <c r="F43" s="0" t="s">
        <v>15</v>
      </c>
      <c r="G43" s="0" t="n">
        <v>0</v>
      </c>
      <c r="H43" s="0" t="n">
        <v>-0.0216156868891776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3.8" hidden="false" customHeight="false" outlineLevel="0" collapsed="false">
      <c r="F44" s="0" t="s">
        <v>16</v>
      </c>
      <c r="G44" s="0" t="n">
        <v>2.91038304567337E-013</v>
      </c>
      <c r="H44" s="0" t="n">
        <v>-3.63797880709171E-013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3.8" hidden="false" customHeight="false" outlineLevel="0" collapsed="false">
      <c r="F45" s="0" t="s">
        <v>17</v>
      </c>
      <c r="G45" s="0" t="n">
        <v>3.63797880709171E-013</v>
      </c>
      <c r="H45" s="0" t="n">
        <v>-1.81898940354586E-013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3.8" hidden="false" customHeight="false" outlineLevel="0" collapsed="false">
      <c r="F46" s="0" t="s">
        <v>18</v>
      </c>
      <c r="G46" s="0" t="n">
        <v>1.89174897968769E-013</v>
      </c>
      <c r="H46" s="0" t="n">
        <v>-1.30967237055302E-013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3.8" hidden="false" customHeight="false" outlineLevel="0" collapsed="false">
      <c r="F47" s="0" t="s">
        <v>19</v>
      </c>
      <c r="G47" s="0" t="n">
        <v>0</v>
      </c>
      <c r="H47" s="0" t="n">
        <v>-0.203440577586938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3.8" hidden="false" customHeight="false" outlineLevel="0" collapsed="false">
      <c r="F48" s="0" t="s">
        <v>20</v>
      </c>
      <c r="G48" s="0" t="n">
        <v>0</v>
      </c>
      <c r="H48" s="0" t="n">
        <v>-77.1027775632527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3.8" hidden="false" customHeight="false" outlineLevel="0" collapsed="false">
      <c r="F49" s="0" t="s">
        <v>21</v>
      </c>
      <c r="G49" s="0" t="n">
        <v>0</v>
      </c>
      <c r="H49" s="0" t="n">
        <v>-159.436848110342</v>
      </c>
      <c r="I49" s="0" t="n">
        <v>8.49905904544329</v>
      </c>
      <c r="J49" s="0" t="n">
        <v>0</v>
      </c>
      <c r="K49" s="0" t="n">
        <v>7.4682648</v>
      </c>
      <c r="L49" s="0" t="n">
        <v>0</v>
      </c>
      <c r="M49" s="0" t="n">
        <v>-182.609694624793</v>
      </c>
    </row>
    <row r="50" customFormat="false" ht="13.8" hidden="false" customHeight="false" outlineLevel="0" collapsed="false">
      <c r="F50" s="0" t="s">
        <v>22</v>
      </c>
      <c r="G50" s="0" t="n">
        <v>0</v>
      </c>
      <c r="H50" s="0" t="n">
        <v>-228.752005272908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-232.822333609954</v>
      </c>
    </row>
    <row r="51" customFormat="false" ht="13.8" hidden="false" customHeight="false" outlineLevel="0" collapsed="false">
      <c r="F51" s="0" t="s">
        <v>23</v>
      </c>
      <c r="G51" s="0" t="n">
        <v>0</v>
      </c>
      <c r="H51" s="0" t="n">
        <v>-233.068181094412</v>
      </c>
      <c r="I51" s="0" t="n">
        <v>0</v>
      </c>
      <c r="J51" s="0" t="n">
        <v>-70.3</v>
      </c>
      <c r="K51" s="0" t="n">
        <v>0</v>
      </c>
      <c r="L51" s="0" t="n">
        <v>0</v>
      </c>
      <c r="M51" s="0" t="n">
        <v>-156.266911011383</v>
      </c>
    </row>
    <row r="52" customFormat="false" ht="13.8" hidden="false" customHeight="false" outlineLevel="0" collapsed="false">
      <c r="F52" s="0" t="s">
        <v>24</v>
      </c>
      <c r="G52" s="0" t="n">
        <v>0</v>
      </c>
      <c r="H52" s="0" t="n">
        <v>-186.59666881965</v>
      </c>
      <c r="I52" s="0" t="n">
        <v>38.9723302513592</v>
      </c>
      <c r="J52" s="0" t="n">
        <v>0</v>
      </c>
      <c r="K52" s="0" t="n">
        <v>0</v>
      </c>
      <c r="L52" s="0" t="n">
        <v>-12.9350691</v>
      </c>
      <c r="M52" s="0" t="n">
        <v>-204.19397480977</v>
      </c>
    </row>
    <row r="53" customFormat="false" ht="13.8" hidden="false" customHeight="false" outlineLevel="0" collapsed="false">
      <c r="F53" s="0" t="s">
        <v>25</v>
      </c>
      <c r="G53" s="0" t="n">
        <v>0</v>
      </c>
      <c r="H53" s="0" t="n">
        <v>-58.1253746915271</v>
      </c>
      <c r="I53" s="0" t="n">
        <v>0</v>
      </c>
      <c r="J53" s="0" t="n">
        <v>-12.1414280752992</v>
      </c>
      <c r="K53" s="0" t="n">
        <v>0</v>
      </c>
      <c r="L53" s="0" t="n">
        <v>0</v>
      </c>
      <c r="M53" s="0" t="n">
        <v>-57.7718892093573</v>
      </c>
    </row>
    <row r="54" customFormat="false" ht="13.8" hidden="false" customHeight="false" outlineLevel="0" collapsed="false">
      <c r="F54" s="0" t="s">
        <v>26</v>
      </c>
      <c r="G54" s="0" t="n">
        <v>0</v>
      </c>
      <c r="H54" s="0" t="n">
        <v>-2.06483709818412</v>
      </c>
      <c r="I54" s="0" t="n">
        <v>1.342</v>
      </c>
      <c r="J54" s="0" t="n">
        <v>0</v>
      </c>
      <c r="K54" s="0" t="n">
        <v>12.081843</v>
      </c>
      <c r="L54" s="0" t="n">
        <v>0</v>
      </c>
      <c r="M54" s="0" t="n">
        <v>-15.3952854377422</v>
      </c>
    </row>
    <row r="55" customFormat="false" ht="13.8" hidden="false" customHeight="false" outlineLevel="0" collapsed="false">
      <c r="F55" s="0" t="s">
        <v>27</v>
      </c>
      <c r="G55" s="0" t="n">
        <v>5.82076609134674E-014</v>
      </c>
      <c r="H55" s="0" t="n">
        <v>-5.82076609134674E-014</v>
      </c>
      <c r="I55" s="0" t="n">
        <v>0</v>
      </c>
      <c r="J55" s="0" t="n">
        <v>0</v>
      </c>
      <c r="K55" s="0" t="n">
        <v>10.8095706</v>
      </c>
      <c r="L55" s="0" t="n">
        <v>0</v>
      </c>
      <c r="M55" s="0" t="n">
        <v>-10.8095705999999</v>
      </c>
    </row>
    <row r="56" customFormat="false" ht="13.8" hidden="false" customHeight="false" outlineLevel="0" collapsed="false">
      <c r="F56" s="0" t="s">
        <v>28</v>
      </c>
      <c r="G56" s="0" t="n">
        <v>2.5465851649642E-014</v>
      </c>
      <c r="H56" s="0" t="n">
        <v>-1.45519152283669E-013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2025-11-10T18:27:44Z</dcterms:created>
  <dc:creator>Emilio</dc:creator>
  <dc:description/>
  <dc:language>es-AR</dc:language>
  <cp:lastModifiedBy/>
  <dcterms:modified xsi:type="dcterms:W3CDTF">2025-12-05T10:57:44Z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