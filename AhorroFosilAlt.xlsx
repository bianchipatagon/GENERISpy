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\Documents\GENERIS\informes\final\"/>
    </mc:Choice>
  </mc:AlternateContent>
  <xr:revisionPtr revIDLastSave="0" documentId="13_ncr:1_{19567B45-DC04-4E91-BDE5-8B120E20A1A4}" xr6:coauthVersionLast="47" xr6:coauthVersionMax="47" xr10:uidLastSave="{00000000-0000-0000-0000-000000000000}"/>
  <bookViews>
    <workbookView xWindow="-120" yWindow="-120" windowWidth="20730" windowHeight="11160" xr2:uid="{6F6EA351-8CBC-4F1C-B7FC-A6C89CEF18DD}"/>
  </bookViews>
  <sheets>
    <sheet name="ahorro" sheetId="1" r:id="rId1"/>
    <sheet name="to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A12" i="1" l="1"/>
  <c r="AZ12" i="1"/>
  <c r="BA11" i="1"/>
  <c r="AZ11" i="1"/>
  <c r="BA10" i="1"/>
  <c r="AZ10" i="1"/>
</calcChain>
</file>

<file path=xl/sharedStrings.xml><?xml version="1.0" encoding="utf-8"?>
<sst xmlns="http://schemas.openxmlformats.org/spreadsheetml/2006/main" count="21" uniqueCount="12">
  <si>
    <t>Outputs by Feedstock Fuel</t>
  </si>
  <si>
    <t>Scenario: Alternativo Generacion Distribuida Differences vs. Tendencial Base ESO Transmision, All Regions, All Output Types</t>
  </si>
  <si>
    <t>Branch: Transformation\Centrales Eléctricas\Processes</t>
  </si>
  <si>
    <t>Units: Thousand Barrel of Oil Equivalent</t>
  </si>
  <si>
    <t>Fuel</t>
  </si>
  <si>
    <t>Total</t>
  </si>
  <si>
    <t>Gas Natural</t>
  </si>
  <si>
    <t>Diesel</t>
  </si>
  <si>
    <t>Scenario: Alternativo Base ESO Transmision, All Regions, All Output Types</t>
  </si>
  <si>
    <t>%</t>
  </si>
  <si>
    <t>$ local</t>
  </si>
  <si>
    <t>$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</si>
</sst>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0_ ;_ * \-#,##0.000_ ;_ * &quot;&quot;\-&quot;&quot;??_ ;_ @_ "/>
    <numFmt numFmtId="165" formatCode="_-* #,##0.000_-;\-* #,##0.000_-;_-* &quot;-&quot;?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ABABA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4" borderId="0" xfId="1" applyNumberFormat="1" applyFont="1" applyFill="1"/>
    <xf numFmtId="164" fontId="0" fillId="3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5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5CC1-0DBB-4B3D-9F66-8FF322A577DF}">
  <dimension ref="A1:BA12"/>
  <sheetViews>
    <sheetView showGridLines="0" tabSelected="1" workbookViewId="0">
      <pane xSplit="1" ySplit="6" topLeftCell="AT7" activePane="bottomRight" state="frozen"/>
      <selection pane="topRight" activeCell="B1" sqref="B1"/>
      <selection pane="bottomLeft" activeCell="A7" sqref="A7"/>
      <selection pane="bottomRight" activeCell="AZ12" sqref="AZ12:BA12"/>
    </sheetView>
  </sheetViews>
  <sheetFormatPr baseColWidth="10" defaultRowHeight="15" x14ac:dyDescent="0.25"/>
  <cols>
    <col min="1" max="1" width="112.85546875" bestFit="1" customWidth="1"/>
    <col min="2" max="24" width="5" bestFit="1" customWidth="1"/>
    <col min="25" max="28" width="8.140625" bestFit="1" customWidth="1"/>
    <col min="29" max="30" width="9.140625" bestFit="1" customWidth="1"/>
    <col min="31" max="31" width="8.140625" bestFit="1" customWidth="1"/>
    <col min="32" max="33" width="7.140625" bestFit="1" customWidth="1"/>
    <col min="34" max="45" width="8.140625" bestFit="1" customWidth="1"/>
    <col min="46" max="52" width="9.140625" bestFit="1" customWidth="1"/>
    <col min="53" max="53" width="10.7109375" bestFit="1" customWidth="1"/>
  </cols>
  <sheetData>
    <row r="1" spans="1:53" x14ac:dyDescent="0.25">
      <c r="A1" s="2" t="s">
        <v>0</v>
      </c>
    </row>
    <row r="2" spans="1:53" x14ac:dyDescent="0.25">
      <c r="A2" s="2" t="s">
        <v>1</v>
      </c>
    </row>
    <row r="3" spans="1:53" x14ac:dyDescent="0.25">
      <c r="A3" s="2" t="s">
        <v>2</v>
      </c>
    </row>
    <row r="4" spans="1:53" x14ac:dyDescent="0.25">
      <c r="A4" s="2" t="s">
        <v>3</v>
      </c>
    </row>
    <row r="5" spans="1:53" x14ac:dyDescent="0.25">
      <c r="A5" s="2"/>
    </row>
    <row r="6" spans="1:53" x14ac:dyDescent="0.25">
      <c r="A6" s="3" t="s">
        <v>4</v>
      </c>
      <c r="B6" s="3">
        <v>2000</v>
      </c>
      <c r="C6" s="3">
        <v>2001</v>
      </c>
      <c r="D6" s="3">
        <v>2002</v>
      </c>
      <c r="E6" s="3">
        <v>2003</v>
      </c>
      <c r="F6" s="3">
        <v>2004</v>
      </c>
      <c r="G6" s="3">
        <v>2005</v>
      </c>
      <c r="H6" s="3">
        <v>2006</v>
      </c>
      <c r="I6" s="3">
        <v>2007</v>
      </c>
      <c r="J6" s="3">
        <v>2008</v>
      </c>
      <c r="K6" s="3">
        <v>2009</v>
      </c>
      <c r="L6" s="3">
        <v>2010</v>
      </c>
      <c r="M6" s="3">
        <v>2011</v>
      </c>
      <c r="N6" s="3">
        <v>2012</v>
      </c>
      <c r="O6" s="3">
        <v>2013</v>
      </c>
      <c r="P6" s="3">
        <v>2014</v>
      </c>
      <c r="Q6" s="3">
        <v>2015</v>
      </c>
      <c r="R6" s="3">
        <v>2016</v>
      </c>
      <c r="S6" s="3">
        <v>2017</v>
      </c>
      <c r="T6" s="3">
        <v>2018</v>
      </c>
      <c r="U6" s="3">
        <v>2019</v>
      </c>
      <c r="V6" s="3">
        <v>2020</v>
      </c>
      <c r="W6" s="3">
        <v>2021</v>
      </c>
      <c r="X6" s="3">
        <v>2022</v>
      </c>
      <c r="Y6" s="3">
        <v>2023</v>
      </c>
      <c r="Z6" s="3">
        <v>2024</v>
      </c>
      <c r="AA6" s="3">
        <v>2025</v>
      </c>
      <c r="AB6" s="3">
        <v>2026</v>
      </c>
      <c r="AC6" s="3">
        <v>2027</v>
      </c>
      <c r="AD6" s="3">
        <v>2028</v>
      </c>
      <c r="AE6" s="3">
        <v>2029</v>
      </c>
      <c r="AF6" s="3">
        <v>2030</v>
      </c>
      <c r="AG6" s="3">
        <v>2031</v>
      </c>
      <c r="AH6" s="3">
        <v>2032</v>
      </c>
      <c r="AI6" s="3">
        <v>2033</v>
      </c>
      <c r="AJ6" s="3">
        <v>2034</v>
      </c>
      <c r="AK6" s="3">
        <v>2035</v>
      </c>
      <c r="AL6" s="3">
        <v>2036</v>
      </c>
      <c r="AM6" s="3">
        <v>2037</v>
      </c>
      <c r="AN6" s="3">
        <v>2038</v>
      </c>
      <c r="AO6" s="3">
        <v>2039</v>
      </c>
      <c r="AP6" s="3">
        <v>2040</v>
      </c>
      <c r="AQ6" s="3">
        <v>2041</v>
      </c>
      <c r="AR6" s="3">
        <v>2042</v>
      </c>
      <c r="AS6" s="3">
        <v>2043</v>
      </c>
      <c r="AT6" s="3">
        <v>2044</v>
      </c>
      <c r="AU6" s="3">
        <v>2045</v>
      </c>
      <c r="AV6" s="3">
        <v>2046</v>
      </c>
      <c r="AW6" s="3">
        <v>2047</v>
      </c>
      <c r="AX6" s="3">
        <v>2048</v>
      </c>
      <c r="AY6" s="3">
        <v>2049</v>
      </c>
      <c r="AZ6" s="3">
        <v>2050</v>
      </c>
      <c r="BA6" s="3" t="s">
        <v>5</v>
      </c>
    </row>
    <row r="7" spans="1:53" x14ac:dyDescent="0.25">
      <c r="A7" t="s">
        <v>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-12.193063498048083</v>
      </c>
      <c r="Z7" s="4">
        <v>-21.708713670581812</v>
      </c>
      <c r="AA7" s="4">
        <v>-46.669910488614839</v>
      </c>
      <c r="AB7" s="6">
        <v>-71.47608753306325</v>
      </c>
      <c r="AC7" s="6">
        <v>-100.29596714011369</v>
      </c>
      <c r="AD7" s="6">
        <v>-106.78127385299599</v>
      </c>
      <c r="AE7" s="4">
        <v>-39.882897862173884</v>
      </c>
      <c r="AF7" s="4">
        <v>-2.5813820166471277</v>
      </c>
      <c r="AG7" s="4">
        <v>-5.6987158009269221</v>
      </c>
      <c r="AH7" s="4">
        <v>-3.7578918060778199</v>
      </c>
      <c r="AI7" s="4">
        <v>-8.4335109111883444</v>
      </c>
      <c r="AJ7" s="4">
        <v>-9.4599533417420432</v>
      </c>
      <c r="AK7" s="4">
        <v>-10.4286192065726</v>
      </c>
      <c r="AL7" s="4">
        <v>-13.10961441195518</v>
      </c>
      <c r="AM7" s="4">
        <v>-24.9122273151999</v>
      </c>
      <c r="AN7" s="4">
        <v>-31.107132512576587</v>
      </c>
      <c r="AO7" s="4">
        <v>-44.922067994589248</v>
      </c>
      <c r="AP7" s="6">
        <v>-58.391192714157647</v>
      </c>
      <c r="AQ7" s="6">
        <v>-58.169149848415195</v>
      </c>
      <c r="AR7" s="6">
        <v>-65.357311691397996</v>
      </c>
      <c r="AS7" s="6">
        <v>-81.931069156946734</v>
      </c>
      <c r="AT7" s="6">
        <v>-97.599037725113504</v>
      </c>
      <c r="AU7" s="6">
        <v>-99.259796113928488</v>
      </c>
      <c r="AV7" s="7">
        <v>-122.38173253561727</v>
      </c>
      <c r="AW7" s="7">
        <v>-148.31378020395172</v>
      </c>
      <c r="AX7" s="1">
        <v>-178.653783109259</v>
      </c>
      <c r="AY7" s="1">
        <v>-208.91595486554309</v>
      </c>
      <c r="AZ7" s="1">
        <v>-217.7750728509593</v>
      </c>
      <c r="BA7" s="1">
        <v>-1890.1669101783573</v>
      </c>
    </row>
    <row r="8" spans="1:53" x14ac:dyDescent="0.25">
      <c r="A8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-9.7414587212017303E-2</v>
      </c>
      <c r="Z8" s="4">
        <v>-0.17343839646712492</v>
      </c>
      <c r="AA8" s="4">
        <v>-0.37286200192405622</v>
      </c>
      <c r="AB8" s="4">
        <v>-0.67308729703217329</v>
      </c>
      <c r="AC8" s="4">
        <v>-1.0531794640446499</v>
      </c>
      <c r="AD8" s="4">
        <v>-1.4938669740185515</v>
      </c>
      <c r="AE8" s="4">
        <v>-3.9374626603242113</v>
      </c>
      <c r="AF8" s="4">
        <v>-5.0743045536749216</v>
      </c>
      <c r="AG8" s="4">
        <v>-3.0117356043384023</v>
      </c>
      <c r="AH8" s="4">
        <v>-7.1403835320409037</v>
      </c>
      <c r="AI8" s="4">
        <v>-4.0481613715807168</v>
      </c>
      <c r="AJ8" s="4">
        <v>-4.5408630045397622</v>
      </c>
      <c r="AK8" s="4">
        <v>-5.0058313643691044</v>
      </c>
      <c r="AL8" s="4">
        <v>-5.4371012325556238</v>
      </c>
      <c r="AM8" s="4">
        <v>-5.8303706793931429</v>
      </c>
      <c r="AN8" s="4">
        <v>-6.1830010639768558</v>
      </c>
      <c r="AO8" s="4">
        <v>-6.5153979935850419</v>
      </c>
      <c r="AP8" s="4">
        <v>-6.7641065267843086</v>
      </c>
      <c r="AQ8" s="4">
        <v>-8.74142801317074</v>
      </c>
      <c r="AR8" s="4">
        <v>-14.962132023364301</v>
      </c>
      <c r="AS8" s="4">
        <v>-14.984328330332538</v>
      </c>
      <c r="AT8" s="4">
        <v>-10.820693945234538</v>
      </c>
      <c r="AU8" s="4">
        <v>-13.69192354431582</v>
      </c>
      <c r="AV8" s="4">
        <v>-7.773286296293457</v>
      </c>
      <c r="AW8" s="4">
        <v>-7.9158689325485936</v>
      </c>
      <c r="AX8" s="4">
        <v>-8.0829069817227879</v>
      </c>
      <c r="AY8" s="4">
        <v>-14.113905176485583</v>
      </c>
      <c r="AZ8" s="4">
        <v>-16.305635235951357</v>
      </c>
      <c r="BA8" s="1">
        <v>-184.74467678728129</v>
      </c>
    </row>
    <row r="9" spans="1:53" x14ac:dyDescent="0.25">
      <c r="A9" s="3" t="s">
        <v>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-12.2904780852601</v>
      </c>
      <c r="Z9" s="5">
        <v>-21.882152067048938</v>
      </c>
      <c r="AA9" s="5">
        <v>-47.042772490538894</v>
      </c>
      <c r="AB9" s="5">
        <v>-72.149174830095419</v>
      </c>
      <c r="AC9" s="5">
        <v>-101.34914660415834</v>
      </c>
      <c r="AD9" s="5">
        <v>-108.27514082701454</v>
      </c>
      <c r="AE9" s="5">
        <v>-43.820360522498092</v>
      </c>
      <c r="AF9" s="5">
        <v>-7.6556865703220494</v>
      </c>
      <c r="AG9" s="5">
        <v>-8.7104514052653244</v>
      </c>
      <c r="AH9" s="5">
        <v>-10.898275338118724</v>
      </c>
      <c r="AI9" s="5">
        <v>-12.481672282769061</v>
      </c>
      <c r="AJ9" s="5">
        <v>-14.000816346281805</v>
      </c>
      <c r="AK9" s="5">
        <v>-15.434450570941705</v>
      </c>
      <c r="AL9" s="5">
        <v>-18.546715644510805</v>
      </c>
      <c r="AM9" s="5">
        <v>-30.742597994593041</v>
      </c>
      <c r="AN9" s="5">
        <v>-37.290133576553444</v>
      </c>
      <c r="AO9" s="5">
        <v>-51.437465988174289</v>
      </c>
      <c r="AP9" s="5">
        <v>-65.155299240941957</v>
      </c>
      <c r="AQ9" s="5">
        <v>-66.910577861585935</v>
      </c>
      <c r="AR9" s="5">
        <v>-80.319443714762301</v>
      </c>
      <c r="AS9" s="5">
        <v>-96.915397487279279</v>
      </c>
      <c r="AT9" s="5">
        <v>-108.41973167034804</v>
      </c>
      <c r="AU9" s="5">
        <v>-112.95171965824431</v>
      </c>
      <c r="AV9" s="5">
        <v>-130.15501883191072</v>
      </c>
      <c r="AW9" s="5">
        <v>-156.22964913650031</v>
      </c>
      <c r="AX9" s="5">
        <v>-186.7366900909818</v>
      </c>
      <c r="AY9" s="5">
        <v>-223.02986004202867</v>
      </c>
      <c r="AZ9" s="5">
        <v>-234.08070808691065</v>
      </c>
      <c r="BA9" s="5">
        <v>-2074.9115869656384</v>
      </c>
    </row>
    <row r="10" spans="1:53" x14ac:dyDescent="0.25">
      <c r="AY10" t="s">
        <v>9</v>
      </c>
      <c r="AZ10" s="8">
        <f>AZ9/total!AZ9</f>
        <v>-6.2221552647279132E-2</v>
      </c>
      <c r="BA10" s="8">
        <f>BA9/total!BA9</f>
        <v>-1.7733865365562075E-2</v>
      </c>
    </row>
    <row r="11" spans="1:53" x14ac:dyDescent="0.25">
      <c r="AY11" t="s">
        <v>10</v>
      </c>
      <c r="AZ11" s="8">
        <f>(((AZ$9*1000)*5.5)*1.5)/1000000</f>
        <v>-1.931165841717013</v>
      </c>
      <c r="BA11" s="8">
        <f>(((BA$9*1000)*5.5)*1.5)/1000000</f>
        <v>-17.118020592466518</v>
      </c>
    </row>
    <row r="12" spans="1:53" x14ac:dyDescent="0.25">
      <c r="AY12" t="s">
        <v>11</v>
      </c>
      <c r="AZ12" s="8">
        <f>(((AZ$9*1000)*5.5)*5)/1000000</f>
        <v>-6.4372194723900424</v>
      </c>
      <c r="BA12" s="8">
        <f>(((BA$9*1000)*5.5)*5)/1000000</f>
        <v>-57.060068641555056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87DD-63BB-4E9F-BE8A-780BE4303D22}">
  <dimension ref="A1:BA9"/>
  <sheetViews>
    <sheetView topLeftCell="AL1" workbookViewId="0">
      <selection sqref="A1:XFD1048576"/>
    </sheetView>
  </sheetViews>
  <sheetFormatPr baseColWidth="10" defaultRowHeight="15" x14ac:dyDescent="0.25"/>
  <sheetData>
    <row r="1" spans="1:53" x14ac:dyDescent="0.25">
      <c r="A1" t="s">
        <v>0</v>
      </c>
    </row>
    <row r="2" spans="1:53" x14ac:dyDescent="0.25">
      <c r="A2" t="s">
        <v>8</v>
      </c>
    </row>
    <row r="3" spans="1:53" x14ac:dyDescent="0.25">
      <c r="A3" t="s">
        <v>2</v>
      </c>
    </row>
    <row r="4" spans="1:53" x14ac:dyDescent="0.25">
      <c r="A4" t="s">
        <v>3</v>
      </c>
    </row>
    <row r="6" spans="1:53" x14ac:dyDescent="0.25">
      <c r="A6" t="s">
        <v>4</v>
      </c>
      <c r="B6">
        <v>2000</v>
      </c>
      <c r="C6">
        <v>2001</v>
      </c>
      <c r="D6">
        <v>2002</v>
      </c>
      <c r="E6">
        <v>2003</v>
      </c>
      <c r="F6">
        <v>2004</v>
      </c>
      <c r="G6">
        <v>2005</v>
      </c>
      <c r="H6">
        <v>2006</v>
      </c>
      <c r="I6">
        <v>2007</v>
      </c>
      <c r="J6">
        <v>2008</v>
      </c>
      <c r="K6">
        <v>2009</v>
      </c>
      <c r="L6">
        <v>2010</v>
      </c>
      <c r="M6">
        <v>2011</v>
      </c>
      <c r="N6">
        <v>2012</v>
      </c>
      <c r="O6">
        <v>2013</v>
      </c>
      <c r="P6">
        <v>2014</v>
      </c>
      <c r="Q6">
        <v>2015</v>
      </c>
      <c r="R6">
        <v>2016</v>
      </c>
      <c r="S6">
        <v>2017</v>
      </c>
      <c r="T6">
        <v>2018</v>
      </c>
      <c r="U6">
        <v>2019</v>
      </c>
      <c r="V6">
        <v>2020</v>
      </c>
      <c r="W6">
        <v>2021</v>
      </c>
      <c r="X6">
        <v>2022</v>
      </c>
      <c r="Y6">
        <v>2023</v>
      </c>
      <c r="Z6">
        <v>2024</v>
      </c>
      <c r="AA6">
        <v>2025</v>
      </c>
      <c r="AB6">
        <v>2026</v>
      </c>
      <c r="AC6">
        <v>2027</v>
      </c>
      <c r="AD6">
        <v>2028</v>
      </c>
      <c r="AE6">
        <v>2029</v>
      </c>
      <c r="AF6">
        <v>2030</v>
      </c>
      <c r="AG6">
        <v>2031</v>
      </c>
      <c r="AH6">
        <v>2032</v>
      </c>
      <c r="AI6">
        <v>2033</v>
      </c>
      <c r="AJ6">
        <v>2034</v>
      </c>
      <c r="AK6">
        <v>2035</v>
      </c>
      <c r="AL6">
        <v>2036</v>
      </c>
      <c r="AM6">
        <v>2037</v>
      </c>
      <c r="AN6">
        <v>2038</v>
      </c>
      <c r="AO6">
        <v>2039</v>
      </c>
      <c r="AP6">
        <v>2040</v>
      </c>
      <c r="AQ6">
        <v>2041</v>
      </c>
      <c r="AR6">
        <v>2042</v>
      </c>
      <c r="AS6">
        <v>2043</v>
      </c>
      <c r="AT6">
        <v>2044</v>
      </c>
      <c r="AU6">
        <v>2045</v>
      </c>
      <c r="AV6">
        <v>2046</v>
      </c>
      <c r="AW6">
        <v>2047</v>
      </c>
      <c r="AX6">
        <v>2048</v>
      </c>
      <c r="AY6">
        <v>2049</v>
      </c>
      <c r="AZ6">
        <v>2050</v>
      </c>
      <c r="BA6" t="s">
        <v>5</v>
      </c>
    </row>
    <row r="7" spans="1:53" x14ac:dyDescent="0.25">
      <c r="A7" t="s">
        <v>6</v>
      </c>
      <c r="B7">
        <v>990.55113488228153</v>
      </c>
      <c r="C7">
        <v>880.99196037628758</v>
      </c>
      <c r="D7">
        <v>938.23137221180787</v>
      </c>
      <c r="E7">
        <v>1127.4405631244952</v>
      </c>
      <c r="F7">
        <v>1132.7678632087636</v>
      </c>
      <c r="G7">
        <v>1392.0924553287352</v>
      </c>
      <c r="H7">
        <v>1470.4357349476322</v>
      </c>
      <c r="I7">
        <v>1605.9443703028535</v>
      </c>
      <c r="J7">
        <v>1889.6748255284015</v>
      </c>
      <c r="K7">
        <v>2049.2157203639053</v>
      </c>
      <c r="L7">
        <v>2407.0888142122549</v>
      </c>
      <c r="M7">
        <v>2603.8005649818565</v>
      </c>
      <c r="N7">
        <v>2769.8064182846924</v>
      </c>
      <c r="O7">
        <v>2905.4197041979819</v>
      </c>
      <c r="P7">
        <v>3359.3904143635964</v>
      </c>
      <c r="Q7">
        <v>3540.2369508315146</v>
      </c>
      <c r="R7">
        <v>4245.7665233975949</v>
      </c>
      <c r="S7">
        <v>4059.0446497325761</v>
      </c>
      <c r="T7">
        <v>3884.5720975458744</v>
      </c>
      <c r="U7">
        <v>3641.6009801365512</v>
      </c>
      <c r="V7">
        <v>3573.6254664901016</v>
      </c>
      <c r="W7">
        <v>3738.9120676905095</v>
      </c>
      <c r="X7">
        <v>4129.471855813711</v>
      </c>
      <c r="Y7">
        <v>4354.0943144258372</v>
      </c>
      <c r="Z7">
        <v>4148.6939781094343</v>
      </c>
      <c r="AA7">
        <v>2457.2287338285246</v>
      </c>
      <c r="AB7">
        <v>2184.5198780943474</v>
      </c>
      <c r="AC7">
        <v>1987.6051232899856</v>
      </c>
      <c r="AD7">
        <v>1829.6403487652994</v>
      </c>
      <c r="AE7">
        <v>1232.8805512941306</v>
      </c>
      <c r="AF7">
        <v>402.58103291423396</v>
      </c>
      <c r="AG7">
        <v>443.92115481497609</v>
      </c>
      <c r="AH7">
        <v>519.71617862552614</v>
      </c>
      <c r="AI7">
        <v>611.98455067285568</v>
      </c>
      <c r="AJ7">
        <v>667.99533725457616</v>
      </c>
      <c r="AK7">
        <v>691.92703742904359</v>
      </c>
      <c r="AL7">
        <v>727.04881559485852</v>
      </c>
      <c r="AM7">
        <v>875.9353084540428</v>
      </c>
      <c r="AN7">
        <v>1043.3698916638673</v>
      </c>
      <c r="AO7">
        <v>1253.8627719952701</v>
      </c>
      <c r="AP7">
        <v>1430.2994023350602</v>
      </c>
      <c r="AQ7">
        <v>1613.3988996445064</v>
      </c>
      <c r="AR7">
        <v>1797.8960044278997</v>
      </c>
      <c r="AS7">
        <v>2007.0203045615385</v>
      </c>
      <c r="AT7">
        <v>2229.9497407459926</v>
      </c>
      <c r="AU7">
        <v>2449.1334216392988</v>
      </c>
      <c r="AV7">
        <v>2697.7222240403908</v>
      </c>
      <c r="AW7">
        <v>2969.9741119098676</v>
      </c>
      <c r="AX7">
        <v>3212.3703831639923</v>
      </c>
      <c r="AY7">
        <v>3512.173467545022</v>
      </c>
      <c r="AZ7">
        <v>3543.2072713278599</v>
      </c>
      <c r="BA7">
        <v>111232.23274652222</v>
      </c>
    </row>
    <row r="8" spans="1:53" x14ac:dyDescent="0.25">
      <c r="A8" t="s">
        <v>7</v>
      </c>
      <c r="B8">
        <v>5.5720845443445057</v>
      </c>
      <c r="C8">
        <v>7.5532701601114409</v>
      </c>
      <c r="D8">
        <v>11.577553442138031</v>
      </c>
      <c r="E8">
        <v>15.354188522193741</v>
      </c>
      <c r="F8">
        <v>15.106540320222878</v>
      </c>
      <c r="G8">
        <v>16.159045178599072</v>
      </c>
      <c r="H8">
        <v>17.830670541902428</v>
      </c>
      <c r="I8">
        <v>19.564207955698482</v>
      </c>
      <c r="J8">
        <v>14.425507764803006</v>
      </c>
      <c r="K8">
        <v>28.789103479113287</v>
      </c>
      <c r="L8">
        <v>38.63311950745527</v>
      </c>
      <c r="M8">
        <v>56.773350301821218</v>
      </c>
      <c r="N8">
        <v>87.110255043252451</v>
      </c>
      <c r="O8">
        <v>88.781880406555814</v>
      </c>
      <c r="P8">
        <v>110.32727397802122</v>
      </c>
      <c r="Q8">
        <v>116.8899513302492</v>
      </c>
      <c r="R8">
        <v>122.09056357163736</v>
      </c>
      <c r="S8">
        <v>118.00436823911808</v>
      </c>
      <c r="T8">
        <v>114.28964520955505</v>
      </c>
      <c r="U8">
        <v>102.71209176741701</v>
      </c>
      <c r="V8">
        <v>89.091440659019341</v>
      </c>
      <c r="W8">
        <v>131.56310729702301</v>
      </c>
      <c r="X8">
        <v>120.54276230931951</v>
      </c>
      <c r="Y8">
        <v>235.65459986413393</v>
      </c>
      <c r="Z8">
        <v>235.48931767595036</v>
      </c>
      <c r="AA8">
        <v>225.82325042792428</v>
      </c>
      <c r="AB8">
        <v>141.20162271679945</v>
      </c>
      <c r="AC8">
        <v>131.59611004115533</v>
      </c>
      <c r="AD8">
        <v>125.27491870072052</v>
      </c>
      <c r="AE8">
        <v>114.8776267319485</v>
      </c>
      <c r="AF8">
        <v>107.34894150201629</v>
      </c>
      <c r="AG8">
        <v>103.24128722757422</v>
      </c>
      <c r="AH8">
        <v>108.97106192019567</v>
      </c>
      <c r="AI8">
        <v>113.45882404641227</v>
      </c>
      <c r="AJ8">
        <v>115.66748227222229</v>
      </c>
      <c r="AK8">
        <v>116.25410680116141</v>
      </c>
      <c r="AL8">
        <v>117.40871725884679</v>
      </c>
      <c r="AM8">
        <v>118.37562681924994</v>
      </c>
      <c r="AN8">
        <v>119.91626571998877</v>
      </c>
      <c r="AO8">
        <v>123.50346334305918</v>
      </c>
      <c r="AP8">
        <v>130.80025318586593</v>
      </c>
      <c r="AQ8">
        <v>137.22920661975641</v>
      </c>
      <c r="AR8">
        <v>158.84408120290871</v>
      </c>
      <c r="AS8">
        <v>167.06176397652069</v>
      </c>
      <c r="AT8">
        <v>171.14993204393053</v>
      </c>
      <c r="AU8">
        <v>186.0836601733655</v>
      </c>
      <c r="AV8">
        <v>193.90802335872803</v>
      </c>
      <c r="AW8">
        <v>196.87209763066411</v>
      </c>
      <c r="AX8">
        <v>199.31878431175505</v>
      </c>
      <c r="AY8">
        <v>207.63185615178227</v>
      </c>
      <c r="AZ8">
        <v>218.8445921777782</v>
      </c>
      <c r="BA8">
        <v>5770.5494554319857</v>
      </c>
    </row>
    <row r="9" spans="1:53" x14ac:dyDescent="0.25">
      <c r="A9" t="s">
        <v>5</v>
      </c>
      <c r="B9">
        <v>996.12321942662606</v>
      </c>
      <c r="C9">
        <v>888.545230536399</v>
      </c>
      <c r="D9">
        <v>949.80892565394595</v>
      </c>
      <c r="E9">
        <v>1142.7947516466888</v>
      </c>
      <c r="F9">
        <v>1147.8744035289865</v>
      </c>
      <c r="G9">
        <v>1408.2515005073344</v>
      </c>
      <c r="H9">
        <v>1488.2664054895347</v>
      </c>
      <c r="I9">
        <v>1625.508578258552</v>
      </c>
      <c r="J9">
        <v>1904.1003332932046</v>
      </c>
      <c r="K9">
        <v>2078.0048238430186</v>
      </c>
      <c r="L9">
        <v>2445.7219337197103</v>
      </c>
      <c r="M9">
        <v>2660.5739152836777</v>
      </c>
      <c r="N9">
        <v>2856.9166733279449</v>
      </c>
      <c r="O9">
        <v>2994.2015846045379</v>
      </c>
      <c r="P9">
        <v>3469.7176883416178</v>
      </c>
      <c r="Q9">
        <v>3657.1269021617636</v>
      </c>
      <c r="R9">
        <v>4367.8570869692321</v>
      </c>
      <c r="S9">
        <v>4177.0490179716944</v>
      </c>
      <c r="T9">
        <v>3998.8617427554295</v>
      </c>
      <c r="U9">
        <v>3744.3130719039682</v>
      </c>
      <c r="V9">
        <v>3662.7169071491212</v>
      </c>
      <c r="W9">
        <v>3870.4751749875327</v>
      </c>
      <c r="X9">
        <v>4250.0146181230302</v>
      </c>
      <c r="Y9">
        <v>4589.7489142899713</v>
      </c>
      <c r="Z9">
        <v>4384.1832957853849</v>
      </c>
      <c r="AA9">
        <v>2683.051984256449</v>
      </c>
      <c r="AB9">
        <v>2325.7215008111471</v>
      </c>
      <c r="AC9">
        <v>2119.2012333311409</v>
      </c>
      <c r="AD9">
        <v>1954.9152674660199</v>
      </c>
      <c r="AE9">
        <v>1347.7581780260791</v>
      </c>
      <c r="AF9">
        <v>509.92997441625027</v>
      </c>
      <c r="AG9">
        <v>547.16244204255031</v>
      </c>
      <c r="AH9">
        <v>628.68724054572181</v>
      </c>
      <c r="AI9">
        <v>725.44337471926792</v>
      </c>
      <c r="AJ9">
        <v>783.66281952679844</v>
      </c>
      <c r="AK9">
        <v>808.18114423020506</v>
      </c>
      <c r="AL9">
        <v>844.45753285370529</v>
      </c>
      <c r="AM9">
        <v>994.31093527329278</v>
      </c>
      <c r="AN9">
        <v>1163.2861573838561</v>
      </c>
      <c r="AO9">
        <v>1377.3662353383293</v>
      </c>
      <c r="AP9">
        <v>1561.0996555209263</v>
      </c>
      <c r="AQ9">
        <v>1750.6281062642629</v>
      </c>
      <c r="AR9">
        <v>1956.7400856308084</v>
      </c>
      <c r="AS9">
        <v>2174.082068538059</v>
      </c>
      <c r="AT9">
        <v>2401.0996727899233</v>
      </c>
      <c r="AU9">
        <v>2635.2170818126642</v>
      </c>
      <c r="AV9">
        <v>2891.6302473991186</v>
      </c>
      <c r="AW9">
        <v>3166.8462095405316</v>
      </c>
      <c r="AX9">
        <v>3411.6891674757471</v>
      </c>
      <c r="AY9">
        <v>3719.8053236968044</v>
      </c>
      <c r="AZ9">
        <v>3762.0518635056383</v>
      </c>
      <c r="BA9">
        <v>117002.78220195421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ahorro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</cp:lastModifiedBy>
  <dcterms:created xsi:type="dcterms:W3CDTF">2025-12-05T19:32:55Z</dcterms:created>
  <dcterms:modified xsi:type="dcterms:W3CDTF">2025-12-10T12:56:40Z</dcterms:modified>
</cp:coreProperties>
</file>