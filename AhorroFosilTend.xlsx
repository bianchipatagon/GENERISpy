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horro" sheetId="1" state="visible" r:id="rId2"/>
    <sheet name="total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<sst xmlns="http://schemas.openxmlformats.org/spreadsheetml/2006/main" count="24" uniqueCount="15">
  <si>
    <t xml:space="preserve">Outputs by Feedstock Fuel</t>
  </si>
  <si>
    <t xml:space="preserve">Scenario: Tendencial Generacion Distribuida Differences vs. Tendencial Base ESO Transmision, All Regions, All Output Types</t>
  </si>
  <si>
    <t xml:space="preserve">Branch: Transformation\Centrales Eléctricas\Processes</t>
  </si>
  <si>
    <t xml:space="preserve">Units: Thousand Barrel of Oil Equivalent</t>
  </si>
  <si>
    <t xml:space="preserve">Fuel</t>
  </si>
  <si>
    <t xml:space="preserve">Total</t>
  </si>
  <si>
    <t xml:space="preserve">Gas Natural</t>
  </si>
  <si>
    <t xml:space="preserve">Diesel</t>
  </si>
  <si>
    <t xml:space="preserve">%</t>
  </si>
  <si>
    <t xml:space="preserve">u$ local</t>
  </si>
  <si>
    <t xml:space="preserve">u$ exp</t>
  </si>
  <si>
    <t xml:space="preserve">Scenario: Tendencial Base ESO Transmision, All Regions, All Output Types</t>
  </si>
  <si>
    <t xml:space="preserve">año</t>
  </si>
  <si>
    <t xml:space="preserve">tend</t>
  </si>
  <si>
    <t xml:space="preserve">alt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</si>
</sst>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_ * #,##0.000_ ;_ * \-#,##0.000_ ;_ * \-??_ ;_ @_ "/>
    <numFmt numFmtId="167" formatCode="_-* #,##0.000_-;\-* #,##0.000_-;_-* \-???_-;_-@_-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DCDCDC"/>
        <bgColor rgb="FFE2EDFA"/>
      </patternFill>
    </fill>
    <fill>
      <patternFill patternType="solid">
        <fgColor rgb="FFE2EDFA"/>
        <bgColor rgb="FFDCDCDC"/>
      </patternFill>
    </fill>
    <fill>
      <patternFill patternType="solid">
        <fgColor rgb="FF000000"/>
        <bgColor rgb="FF003300"/>
      </patternFill>
    </fill>
    <fill>
      <patternFill patternType="solid">
        <fgColor rgb="FF575757"/>
        <bgColor rgb="FF333333"/>
      </patternFill>
    </fill>
    <fill>
      <patternFill patternType="solid">
        <fgColor rgb="FFABABAB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ABAB"/>
      <rgbColor rgb="FF808080"/>
      <rgbColor rgb="FF9999FF"/>
      <rgbColor rgb="FF993366"/>
      <rgbColor rgb="FFFFFFCC"/>
      <rgbColor rgb="FFE2EDFA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575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AU7" activePane="bottomRight" state="frozen"/>
      <selection pane="topLeft" activeCell="A1" activeCellId="0" sqref="A1"/>
      <selection pane="topRight" activeCell="AU1" activeCellId="0" sqref="AU1"/>
      <selection pane="bottomLeft" activeCell="A7" activeCellId="0" sqref="A7"/>
      <selection pane="bottomRight" activeCell="Y6" activeCellId="1" sqref="B2:D30 Y6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112.57"/>
    <col collapsed="false" customWidth="true" hidden="false" outlineLevel="0" max="24" min="2" style="0" width="5.01"/>
    <col collapsed="false" customWidth="true" hidden="false" outlineLevel="0" max="30" min="25" style="0" width="8.14"/>
    <col collapsed="false" customWidth="true" hidden="false" outlineLevel="0" max="51" min="31" style="0" width="9.14"/>
    <col collapsed="false" customWidth="true" hidden="false" outlineLevel="0" max="52" min="52" style="0" width="22.57"/>
    <col collapsed="false" customWidth="true" hidden="false" outlineLevel="0" max="53" min="53" style="0" width="16.5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/>
    </row>
    <row r="6" customFormat="false" ht="15" hidden="false" customHeight="false" outlineLevel="0" collapsed="false">
      <c r="A6" s="2" t="s">
        <v>4</v>
      </c>
      <c r="B6" s="2" t="n">
        <v>2000</v>
      </c>
      <c r="C6" s="2" t="n">
        <v>2001</v>
      </c>
      <c r="D6" s="2" t="n">
        <v>2002</v>
      </c>
      <c r="E6" s="2" t="n">
        <v>2003</v>
      </c>
      <c r="F6" s="2" t="n">
        <v>2004</v>
      </c>
      <c r="G6" s="2" t="n">
        <v>2005</v>
      </c>
      <c r="H6" s="2" t="n">
        <v>2006</v>
      </c>
      <c r="I6" s="2" t="n">
        <v>2007</v>
      </c>
      <c r="J6" s="2" t="n">
        <v>2008</v>
      </c>
      <c r="K6" s="2" t="n">
        <v>2009</v>
      </c>
      <c r="L6" s="2" t="n">
        <v>2010</v>
      </c>
      <c r="M6" s="2" t="n">
        <v>2011</v>
      </c>
      <c r="N6" s="2" t="n">
        <v>2012</v>
      </c>
      <c r="O6" s="2" t="n">
        <v>2013</v>
      </c>
      <c r="P6" s="2" t="n">
        <v>2014</v>
      </c>
      <c r="Q6" s="2" t="n">
        <v>2015</v>
      </c>
      <c r="R6" s="2" t="n">
        <v>2016</v>
      </c>
      <c r="S6" s="2" t="n">
        <v>2017</v>
      </c>
      <c r="T6" s="2" t="n">
        <v>2018</v>
      </c>
      <c r="U6" s="2" t="n">
        <v>2019</v>
      </c>
      <c r="V6" s="2" t="n">
        <v>2020</v>
      </c>
      <c r="W6" s="2" t="n">
        <v>2021</v>
      </c>
      <c r="X6" s="2" t="n">
        <v>2022</v>
      </c>
      <c r="Y6" s="2" t="n">
        <v>2023</v>
      </c>
      <c r="Z6" s="2" t="n">
        <v>2024</v>
      </c>
      <c r="AA6" s="2" t="n">
        <v>2025</v>
      </c>
      <c r="AB6" s="2" t="n">
        <v>2026</v>
      </c>
      <c r="AC6" s="2" t="n">
        <v>2027</v>
      </c>
      <c r="AD6" s="2" t="n">
        <v>2028</v>
      </c>
      <c r="AE6" s="2" t="n">
        <v>2029</v>
      </c>
      <c r="AF6" s="2" t="n">
        <v>2030</v>
      </c>
      <c r="AG6" s="2" t="n">
        <v>2031</v>
      </c>
      <c r="AH6" s="2" t="n">
        <v>2032</v>
      </c>
      <c r="AI6" s="2" t="n">
        <v>2033</v>
      </c>
      <c r="AJ6" s="2" t="n">
        <v>2034</v>
      </c>
      <c r="AK6" s="2" t="n">
        <v>2035</v>
      </c>
      <c r="AL6" s="2" t="n">
        <v>2036</v>
      </c>
      <c r="AM6" s="2" t="n">
        <v>2037</v>
      </c>
      <c r="AN6" s="2" t="n">
        <v>2038</v>
      </c>
      <c r="AO6" s="2" t="n">
        <v>2039</v>
      </c>
      <c r="AP6" s="2" t="n">
        <v>2040</v>
      </c>
      <c r="AQ6" s="2" t="n">
        <v>2041</v>
      </c>
      <c r="AR6" s="2" t="n">
        <v>2042</v>
      </c>
      <c r="AS6" s="2" t="n">
        <v>2043</v>
      </c>
      <c r="AT6" s="2" t="n">
        <v>2044</v>
      </c>
      <c r="AU6" s="2" t="n">
        <v>2045</v>
      </c>
      <c r="AV6" s="2" t="n">
        <v>2046</v>
      </c>
      <c r="AW6" s="2" t="n">
        <v>2047</v>
      </c>
      <c r="AX6" s="2" t="n">
        <v>2048</v>
      </c>
      <c r="AY6" s="2" t="n">
        <v>2049</v>
      </c>
      <c r="AZ6" s="2" t="n">
        <v>2050</v>
      </c>
      <c r="BA6" s="2" t="s">
        <v>5</v>
      </c>
    </row>
    <row r="7" customFormat="false" ht="15" hidden="false" customHeight="false" outlineLevel="0" collapsed="false">
      <c r="A7" s="0" t="s">
        <v>6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-11.1908954992924</v>
      </c>
      <c r="Z7" s="3" t="n">
        <v>-20.4270158691629</v>
      </c>
      <c r="AA7" s="3" t="n">
        <v>-24.1529000709883</v>
      </c>
      <c r="AB7" s="3" t="n">
        <v>-43.3492219559979</v>
      </c>
      <c r="AC7" s="3" t="n">
        <v>-68.4957100164525</v>
      </c>
      <c r="AD7" s="3" t="n">
        <v>-97.1569166141201</v>
      </c>
      <c r="AE7" s="3" t="n">
        <v>-128.613747739761</v>
      </c>
      <c r="AF7" s="3" t="n">
        <v>-161.829324042645</v>
      </c>
      <c r="AG7" s="3" t="n">
        <v>-195.874806517056</v>
      </c>
      <c r="AH7" s="4" t="n">
        <v>-229.7727341813</v>
      </c>
      <c r="AI7" s="4" t="n">
        <v>-262.156545175887</v>
      </c>
      <c r="AJ7" s="4" t="n">
        <v>-295.512938958484</v>
      </c>
      <c r="AK7" s="4" t="n">
        <v>-331.039183841262</v>
      </c>
      <c r="AL7" s="4" t="n">
        <v>-352.801139329203</v>
      </c>
      <c r="AM7" s="4" t="n">
        <v>-362.752252519028</v>
      </c>
      <c r="AN7" s="4" t="n">
        <v>-376.769113874854</v>
      </c>
      <c r="AO7" s="4" t="n">
        <v>-389.583892406581</v>
      </c>
      <c r="AP7" s="4" t="n">
        <v>-399.521185646549</v>
      </c>
      <c r="AQ7" s="4" t="n">
        <v>-401.035870254484</v>
      </c>
      <c r="AR7" s="4" t="n">
        <v>-431.54823687881</v>
      </c>
      <c r="AS7" s="5" t="n">
        <v>-476.725486078285</v>
      </c>
      <c r="AT7" s="5" t="n">
        <v>-525.702007378903</v>
      </c>
      <c r="AU7" s="5" t="n">
        <v>-576.383572798052</v>
      </c>
      <c r="AV7" s="5" t="n">
        <v>-614.037331132763</v>
      </c>
      <c r="AW7" s="5" t="n">
        <v>-659.509411441774</v>
      </c>
      <c r="AX7" s="6" t="n">
        <v>-755.007200883396</v>
      </c>
      <c r="AY7" s="6" t="n">
        <v>-844.417366671572</v>
      </c>
      <c r="AZ7" s="6" t="n">
        <v>-916.874610048807</v>
      </c>
      <c r="BA7" s="6" t="n">
        <v>-9952.24061782547</v>
      </c>
    </row>
    <row r="8" customFormat="false" ht="15" hidden="false" customHeight="false" outlineLevel="0" collapsed="false">
      <c r="A8" s="0" t="s">
        <v>7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-0.0974145872120173</v>
      </c>
      <c r="Z8" s="3" t="n">
        <v>-0.173438396467125</v>
      </c>
      <c r="AA8" s="3" t="n">
        <v>-1.10738660267023</v>
      </c>
      <c r="AB8" s="3" t="n">
        <v>-0.673087297032173</v>
      </c>
      <c r="AC8" s="3" t="n">
        <v>-1.05317946404463</v>
      </c>
      <c r="AD8" s="3" t="n">
        <v>-1.49386697401855</v>
      </c>
      <c r="AE8" s="3" t="n">
        <v>-1.97754158681499</v>
      </c>
      <c r="AF8" s="3" t="n">
        <v>-2.48825835109864</v>
      </c>
      <c r="AG8" s="3" t="n">
        <v>-3.01173560433841</v>
      </c>
      <c r="AH8" s="3" t="n">
        <v>-3.53535497280683</v>
      </c>
      <c r="AI8" s="3" t="n">
        <v>-8.29622278447485</v>
      </c>
      <c r="AJ8" s="3" t="n">
        <v>-12.306805866804</v>
      </c>
      <c r="AK8" s="3" t="n">
        <v>-8.72188972913124</v>
      </c>
      <c r="AL8" s="3" t="n">
        <v>-5.43710123255612</v>
      </c>
      <c r="AM8" s="3" t="n">
        <v>-5.83244406767973</v>
      </c>
      <c r="AN8" s="3" t="n">
        <v>-13.8365595800185</v>
      </c>
      <c r="AO8" s="3" t="n">
        <v>-19.641161843731</v>
      </c>
      <c r="AP8" s="3" t="n">
        <v>-15.6577823715724</v>
      </c>
      <c r="AQ8" s="3" t="n">
        <v>-22.3624031024381</v>
      </c>
      <c r="AR8" s="3" t="n">
        <v>-33.4279883914893</v>
      </c>
      <c r="AS8" s="3" t="n">
        <v>-39.2383140111596</v>
      </c>
      <c r="AT8" s="3" t="n">
        <v>-45.6082159399404</v>
      </c>
      <c r="AU8" s="3" t="n">
        <v>-34.1321148624224</v>
      </c>
      <c r="AV8" s="3" t="n">
        <v>-34.2312723050387</v>
      </c>
      <c r="AW8" s="3" t="n">
        <v>-34.3738549412939</v>
      </c>
      <c r="AX8" s="3" t="n">
        <v>-32.6263682945982</v>
      </c>
      <c r="AY8" s="3" t="n">
        <v>-32.6953518824105</v>
      </c>
      <c r="AZ8" s="3" t="n">
        <v>-42.7007410994113</v>
      </c>
      <c r="BA8" s="6" t="n">
        <v>-456.737856142674</v>
      </c>
    </row>
    <row r="9" customFormat="false" ht="15" hidden="false" customHeight="false" outlineLevel="0" collapsed="false">
      <c r="A9" s="2" t="s">
        <v>5</v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-11.2883100865044</v>
      </c>
      <c r="Z9" s="7" t="n">
        <v>-20.6004542656301</v>
      </c>
      <c r="AA9" s="7" t="n">
        <v>-25.2602866736585</v>
      </c>
      <c r="AB9" s="7" t="n">
        <v>-44.0223092530301</v>
      </c>
      <c r="AC9" s="7" t="n">
        <v>-69.5488894804972</v>
      </c>
      <c r="AD9" s="7" t="n">
        <v>-98.6507835881386</v>
      </c>
      <c r="AE9" s="7" t="n">
        <v>-130.591289326576</v>
      </c>
      <c r="AF9" s="7" t="n">
        <v>-164.317582393743</v>
      </c>
      <c r="AG9" s="7" t="n">
        <v>-198.886542121395</v>
      </c>
      <c r="AH9" s="7" t="n">
        <v>-233.308089154106</v>
      </c>
      <c r="AI9" s="7" t="n">
        <v>-270.452767960361</v>
      </c>
      <c r="AJ9" s="7" t="n">
        <v>-307.819744825288</v>
      </c>
      <c r="AK9" s="7" t="n">
        <v>-339.761073570393</v>
      </c>
      <c r="AL9" s="7" t="n">
        <v>-358.238240561759</v>
      </c>
      <c r="AM9" s="7" t="n">
        <v>-368.584696586708</v>
      </c>
      <c r="AN9" s="7" t="n">
        <v>-390.605673454873</v>
      </c>
      <c r="AO9" s="7" t="n">
        <v>-409.225054250312</v>
      </c>
      <c r="AP9" s="7" t="n">
        <v>-415.178968018122</v>
      </c>
      <c r="AQ9" s="7" t="n">
        <v>-423.398273356922</v>
      </c>
      <c r="AR9" s="7" t="n">
        <v>-464.976225270299</v>
      </c>
      <c r="AS9" s="7" t="n">
        <v>-515.963800089445</v>
      </c>
      <c r="AT9" s="7" t="n">
        <v>-571.310223318843</v>
      </c>
      <c r="AU9" s="7" t="n">
        <v>-610.515687660475</v>
      </c>
      <c r="AV9" s="7" t="n">
        <v>-648.268603437802</v>
      </c>
      <c r="AW9" s="7" t="n">
        <v>-693.883266383067</v>
      </c>
      <c r="AX9" s="7" t="n">
        <v>-787.633569177994</v>
      </c>
      <c r="AY9" s="7" t="n">
        <v>-877.112718553982</v>
      </c>
      <c r="AZ9" s="7" t="n">
        <v>-959.575351148218</v>
      </c>
      <c r="BA9" s="7" t="n">
        <v>-10408.9784739681</v>
      </c>
    </row>
    <row r="10" customFormat="false" ht="15" hidden="false" customHeight="false" outlineLevel="0" collapsed="false">
      <c r="AY10" s="0" t="s">
        <v>8</v>
      </c>
      <c r="AZ10" s="8" t="n">
        <f aca="false">AZ9/total!AZ9</f>
        <v>-0.112598205900819</v>
      </c>
      <c r="BA10" s="8" t="n">
        <f aca="false">BA9/total!BA9</f>
        <v>-0.051577270486349</v>
      </c>
    </row>
    <row r="11" customFormat="false" ht="15" hidden="false" customHeight="false" outlineLevel="0" collapsed="false">
      <c r="AY11" s="0" t="s">
        <v>9</v>
      </c>
      <c r="AZ11" s="8" t="n">
        <f aca="false">(((AZ$9*1000)*5.5)*1.5)/1000000</f>
        <v>-7.9164966469728</v>
      </c>
      <c r="BA11" s="8" t="n">
        <f aca="false">(((BA$9*1000)*5.5)*1.5)/1000000</f>
        <v>-85.8740724102372</v>
      </c>
    </row>
    <row r="12" customFormat="false" ht="15" hidden="false" customHeight="false" outlineLevel="0" collapsed="false">
      <c r="AY12" s="0" t="s">
        <v>10</v>
      </c>
      <c r="AZ12" s="8" t="n">
        <f aca="false">(((AZ$9*1000)*5.5)*5)/1000000</f>
        <v>-26.388322156576</v>
      </c>
      <c r="BA12" s="8" t="n">
        <f aca="false">(((BA$9*1000)*5.5)*5)/1000000</f>
        <v>-286.246908034124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2:D30 A1"/>
    </sheetView>
  </sheetViews>
  <sheetFormatPr defaultColWidth="10.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0" t="s">
        <v>4</v>
      </c>
      <c r="B6" s="0" t="n">
        <v>2000</v>
      </c>
      <c r="C6" s="0" t="n">
        <v>2001</v>
      </c>
      <c r="D6" s="0" t="n">
        <v>2002</v>
      </c>
      <c r="E6" s="0" t="n">
        <v>2003</v>
      </c>
      <c r="F6" s="0" t="n">
        <v>2004</v>
      </c>
      <c r="G6" s="0" t="n">
        <v>2005</v>
      </c>
      <c r="H6" s="0" t="n">
        <v>2006</v>
      </c>
      <c r="I6" s="0" t="n">
        <v>2007</v>
      </c>
      <c r="J6" s="0" t="n">
        <v>2008</v>
      </c>
      <c r="K6" s="0" t="n">
        <v>2009</v>
      </c>
      <c r="L6" s="0" t="n">
        <v>2010</v>
      </c>
      <c r="M6" s="0" t="n">
        <v>2011</v>
      </c>
      <c r="N6" s="0" t="n">
        <v>2012</v>
      </c>
      <c r="O6" s="0" t="n">
        <v>2013</v>
      </c>
      <c r="P6" s="0" t="n">
        <v>2014</v>
      </c>
      <c r="Q6" s="0" t="n">
        <v>2015</v>
      </c>
      <c r="R6" s="0" t="n">
        <v>2016</v>
      </c>
      <c r="S6" s="0" t="n">
        <v>2017</v>
      </c>
      <c r="T6" s="0" t="n">
        <v>2018</v>
      </c>
      <c r="U6" s="0" t="n">
        <v>2019</v>
      </c>
      <c r="V6" s="0" t="n">
        <v>2020</v>
      </c>
      <c r="W6" s="0" t="n">
        <v>2021</v>
      </c>
      <c r="X6" s="0" t="n">
        <v>2022</v>
      </c>
      <c r="Y6" s="0" t="n">
        <v>2023</v>
      </c>
      <c r="Z6" s="0" t="n">
        <v>2024</v>
      </c>
      <c r="AA6" s="0" t="n">
        <v>2025</v>
      </c>
      <c r="AB6" s="0" t="n">
        <v>2026</v>
      </c>
      <c r="AC6" s="0" t="n">
        <v>2027</v>
      </c>
      <c r="AD6" s="0" t="n">
        <v>2028</v>
      </c>
      <c r="AE6" s="0" t="n">
        <v>2029</v>
      </c>
      <c r="AF6" s="0" t="n">
        <v>2030</v>
      </c>
      <c r="AG6" s="0" t="n">
        <v>2031</v>
      </c>
      <c r="AH6" s="0" t="n">
        <v>2032</v>
      </c>
      <c r="AI6" s="0" t="n">
        <v>2033</v>
      </c>
      <c r="AJ6" s="0" t="n">
        <v>2034</v>
      </c>
      <c r="AK6" s="0" t="n">
        <v>2035</v>
      </c>
      <c r="AL6" s="0" t="n">
        <v>2036</v>
      </c>
      <c r="AM6" s="0" t="n">
        <v>2037</v>
      </c>
      <c r="AN6" s="0" t="n">
        <v>2038</v>
      </c>
      <c r="AO6" s="0" t="n">
        <v>2039</v>
      </c>
      <c r="AP6" s="0" t="n">
        <v>2040</v>
      </c>
      <c r="AQ6" s="0" t="n">
        <v>2041</v>
      </c>
      <c r="AR6" s="0" t="n">
        <v>2042</v>
      </c>
      <c r="AS6" s="0" t="n">
        <v>2043</v>
      </c>
      <c r="AT6" s="0" t="n">
        <v>2044</v>
      </c>
      <c r="AU6" s="0" t="n">
        <v>2045</v>
      </c>
      <c r="AV6" s="0" t="n">
        <v>2046</v>
      </c>
      <c r="AW6" s="0" t="n">
        <v>2047</v>
      </c>
      <c r="AX6" s="0" t="n">
        <v>2048</v>
      </c>
      <c r="AY6" s="0" t="n">
        <v>2049</v>
      </c>
      <c r="AZ6" s="0" t="n">
        <v>2050</v>
      </c>
      <c r="BA6" s="0" t="s">
        <v>5</v>
      </c>
    </row>
    <row r="7" customFormat="false" ht="15" hidden="false" customHeight="false" outlineLevel="0" collapsed="false">
      <c r="A7" s="0" t="s">
        <v>6</v>
      </c>
      <c r="B7" s="0" t="n">
        <v>990.551134882282</v>
      </c>
      <c r="C7" s="0" t="n">
        <v>880.991960376288</v>
      </c>
      <c r="D7" s="0" t="n">
        <v>938.231372211808</v>
      </c>
      <c r="E7" s="0" t="n">
        <v>1127.4405631245</v>
      </c>
      <c r="F7" s="0" t="n">
        <v>1132.76786320876</v>
      </c>
      <c r="G7" s="0" t="n">
        <v>1392.09245532874</v>
      </c>
      <c r="H7" s="0" t="n">
        <v>1470.43573494763</v>
      </c>
      <c r="I7" s="0" t="n">
        <v>1605.94437030285</v>
      </c>
      <c r="J7" s="0" t="n">
        <v>1889.6748255284</v>
      </c>
      <c r="K7" s="0" t="n">
        <v>2049.21572036391</v>
      </c>
      <c r="L7" s="0" t="n">
        <v>2407.08881421225</v>
      </c>
      <c r="M7" s="0" t="n">
        <v>2603.80056498186</v>
      </c>
      <c r="N7" s="0" t="n">
        <v>2769.80641828469</v>
      </c>
      <c r="O7" s="0" t="n">
        <v>2905.41970419798</v>
      </c>
      <c r="P7" s="0" t="n">
        <v>3359.3904143636</v>
      </c>
      <c r="Q7" s="0" t="n">
        <v>3540.23695083151</v>
      </c>
      <c r="R7" s="0" t="n">
        <v>4245.7665233976</v>
      </c>
      <c r="S7" s="0" t="n">
        <v>4059.04464973258</v>
      </c>
      <c r="T7" s="0" t="n">
        <v>3884.57209754587</v>
      </c>
      <c r="U7" s="0" t="n">
        <v>3641.60098013655</v>
      </c>
      <c r="V7" s="0" t="n">
        <v>3573.6254664901</v>
      </c>
      <c r="W7" s="0" t="n">
        <v>3738.91206769051</v>
      </c>
      <c r="X7" s="0" t="n">
        <v>4129.47185581371</v>
      </c>
      <c r="Y7" s="0" t="n">
        <v>4410.68787260473</v>
      </c>
      <c r="Z7" s="0" t="n">
        <v>4218.86088211299</v>
      </c>
      <c r="AA7" s="0" t="n">
        <v>3020.36309510033</v>
      </c>
      <c r="AB7" s="0" t="n">
        <v>3224.7325935564</v>
      </c>
      <c r="AC7" s="0" t="n">
        <v>3276.98115093954</v>
      </c>
      <c r="AD7" s="0" t="n">
        <v>3345.69966377598</v>
      </c>
      <c r="AE7" s="0" t="n">
        <v>3419.73539442194</v>
      </c>
      <c r="AF7" s="0" t="n">
        <v>3494.11614838695</v>
      </c>
      <c r="AG7" s="0" t="n">
        <v>3617.70208251354</v>
      </c>
      <c r="AH7" s="0" t="n">
        <v>3749.30186431716</v>
      </c>
      <c r="AI7" s="0" t="n">
        <v>3889.18208727204</v>
      </c>
      <c r="AJ7" s="0" t="n">
        <v>4031.61775016865</v>
      </c>
      <c r="AK7" s="0" t="n">
        <v>4192.107723875</v>
      </c>
      <c r="AL7" s="0" t="n">
        <v>4345.66578971892</v>
      </c>
      <c r="AM7" s="0" t="n">
        <v>4487.09955163109</v>
      </c>
      <c r="AN7" s="0" t="n">
        <v>4628.25014181059</v>
      </c>
      <c r="AO7" s="0" t="n">
        <v>4801.18217952725</v>
      </c>
      <c r="AP7" s="0" t="n">
        <v>5002.0422331855</v>
      </c>
      <c r="AQ7" s="0" t="n">
        <v>5224.45682715254</v>
      </c>
      <c r="AR7" s="0" t="n">
        <v>5480.79660442177</v>
      </c>
      <c r="AS7" s="0" t="n">
        <v>5768.52690256108</v>
      </c>
      <c r="AT7" s="0" t="n">
        <v>6072.28930105218</v>
      </c>
      <c r="AU7" s="0" t="n">
        <v>6401.28711779261</v>
      </c>
      <c r="AV7" s="0" t="n">
        <v>6744.40798848015</v>
      </c>
      <c r="AW7" s="0" t="n">
        <v>7099.97957921335</v>
      </c>
      <c r="AX7" s="0" t="n">
        <v>7481.68518991528</v>
      </c>
      <c r="AY7" s="0" t="n">
        <v>7863.98446962525</v>
      </c>
      <c r="AZ7" s="0" t="n">
        <v>8260.3151425836</v>
      </c>
      <c r="BA7" s="0" t="n">
        <v>195889.13983567</v>
      </c>
    </row>
    <row r="8" customFormat="false" ht="15" hidden="false" customHeight="false" outlineLevel="0" collapsed="false">
      <c r="A8" s="0" t="s">
        <v>7</v>
      </c>
      <c r="B8" s="0" t="n">
        <v>5.57208454434451</v>
      </c>
      <c r="C8" s="0" t="n">
        <v>7.55327016011144</v>
      </c>
      <c r="D8" s="0" t="n">
        <v>11.577553442138</v>
      </c>
      <c r="E8" s="0" t="n">
        <v>15.3541885221937</v>
      </c>
      <c r="F8" s="0" t="n">
        <v>15.1065403202229</v>
      </c>
      <c r="G8" s="0" t="n">
        <v>16.1590451785991</v>
      </c>
      <c r="H8" s="0" t="n">
        <v>17.8306705419024</v>
      </c>
      <c r="I8" s="0" t="n">
        <v>19.5642079556985</v>
      </c>
      <c r="J8" s="0" t="n">
        <v>14.425507764803</v>
      </c>
      <c r="K8" s="0" t="n">
        <v>28.7891034791133</v>
      </c>
      <c r="L8" s="0" t="n">
        <v>38.6331195074553</v>
      </c>
      <c r="M8" s="0" t="n">
        <v>56.7733503018212</v>
      </c>
      <c r="N8" s="0" t="n">
        <v>87.1102550432525</v>
      </c>
      <c r="O8" s="0" t="n">
        <v>88.7818804065558</v>
      </c>
      <c r="P8" s="0" t="n">
        <v>110.327273978021</v>
      </c>
      <c r="Q8" s="0" t="n">
        <v>116.889951330249</v>
      </c>
      <c r="R8" s="0" t="n">
        <v>122.090563571637</v>
      </c>
      <c r="S8" s="0" t="n">
        <v>118.004368239118</v>
      </c>
      <c r="T8" s="0" t="n">
        <v>114.289645209555</v>
      </c>
      <c r="U8" s="0" t="n">
        <v>102.712091767417</v>
      </c>
      <c r="V8" s="0" t="n">
        <v>89.0914406590193</v>
      </c>
      <c r="W8" s="0" t="n">
        <v>131.563107297023</v>
      </c>
      <c r="X8" s="0" t="n">
        <v>120.54276230932</v>
      </c>
      <c r="Y8" s="0" t="n">
        <v>235.654599864134</v>
      </c>
      <c r="Z8" s="0" t="n">
        <v>235.48931767595</v>
      </c>
      <c r="AA8" s="0" t="n">
        <v>92.3057889585531</v>
      </c>
      <c r="AB8" s="0" t="n">
        <v>89.7783794065333</v>
      </c>
      <c r="AC8" s="0" t="n">
        <v>89.1231644149113</v>
      </c>
      <c r="AD8" s="0" t="n">
        <v>88.7073462949164</v>
      </c>
      <c r="AE8" s="0" t="n">
        <v>88.1252783449123</v>
      </c>
      <c r="AF8" s="0" t="n">
        <v>87.8712182302929</v>
      </c>
      <c r="AG8" s="0" t="n">
        <v>88.9883299427314</v>
      </c>
      <c r="AH8" s="0" t="n">
        <v>91.0447468960302</v>
      </c>
      <c r="AI8" s="0" t="n">
        <v>96.3939355240788</v>
      </c>
      <c r="AJ8" s="0" t="n">
        <v>103.633949809002</v>
      </c>
      <c r="AK8" s="0" t="n">
        <v>115.739918627163</v>
      </c>
      <c r="AL8" s="0" t="n">
        <v>125.963666405992</v>
      </c>
      <c r="AM8" s="0" t="n">
        <v>129.723780073526</v>
      </c>
      <c r="AN8" s="0" t="n">
        <v>148.430421719311</v>
      </c>
      <c r="AO8" s="0" t="n">
        <v>171.386934323491</v>
      </c>
      <c r="AP8" s="0" t="n">
        <v>175.477678891111</v>
      </c>
      <c r="AQ8" s="0" t="n">
        <v>184.402421043528</v>
      </c>
      <c r="AR8" s="0" t="n">
        <v>200.886179500278</v>
      </c>
      <c r="AS8" s="0" t="n">
        <v>208.547350626654</v>
      </c>
      <c r="AT8" s="0" t="n">
        <v>217.353251409545</v>
      </c>
      <c r="AU8" s="0" t="n">
        <v>219.948799006616</v>
      </c>
      <c r="AV8" s="0" t="n">
        <v>225.496363231745</v>
      </c>
      <c r="AW8" s="0" t="n">
        <v>228.460437503681</v>
      </c>
      <c r="AX8" s="0" t="n">
        <v>230.907124184772</v>
      </c>
      <c r="AY8" s="0" t="n">
        <v>243.760240128778</v>
      </c>
      <c r="AZ8" s="0" t="n">
        <v>261.804223984702</v>
      </c>
      <c r="BA8" s="0" t="n">
        <v>5924.14682755251</v>
      </c>
    </row>
    <row r="9" customFormat="false" ht="15" hidden="false" customHeight="false" outlineLevel="0" collapsed="false">
      <c r="A9" s="0" t="s">
        <v>5</v>
      </c>
      <c r="B9" s="0" t="n">
        <v>996.123219426626</v>
      </c>
      <c r="C9" s="0" t="n">
        <v>888.545230536399</v>
      </c>
      <c r="D9" s="0" t="n">
        <v>949.808925653946</v>
      </c>
      <c r="E9" s="0" t="n">
        <v>1142.79475164669</v>
      </c>
      <c r="F9" s="0" t="n">
        <v>1147.87440352899</v>
      </c>
      <c r="G9" s="0" t="n">
        <v>1408.25150050733</v>
      </c>
      <c r="H9" s="0" t="n">
        <v>1488.26640548953</v>
      </c>
      <c r="I9" s="0" t="n">
        <v>1625.50857825855</v>
      </c>
      <c r="J9" s="0" t="n">
        <v>1904.1003332932</v>
      </c>
      <c r="K9" s="0" t="n">
        <v>2078.00482384302</v>
      </c>
      <c r="L9" s="0" t="n">
        <v>2445.72193371971</v>
      </c>
      <c r="M9" s="0" t="n">
        <v>2660.57391528368</v>
      </c>
      <c r="N9" s="0" t="n">
        <v>2856.91667332794</v>
      </c>
      <c r="O9" s="0" t="n">
        <v>2994.20158460454</v>
      </c>
      <c r="P9" s="0" t="n">
        <v>3469.71768834162</v>
      </c>
      <c r="Q9" s="0" t="n">
        <v>3657.12690216176</v>
      </c>
      <c r="R9" s="0" t="n">
        <v>4367.85708696923</v>
      </c>
      <c r="S9" s="0" t="n">
        <v>4177.04901797169</v>
      </c>
      <c r="T9" s="0" t="n">
        <v>3998.86174275543</v>
      </c>
      <c r="U9" s="0" t="n">
        <v>3744.31307190397</v>
      </c>
      <c r="V9" s="0" t="n">
        <v>3662.71690714912</v>
      </c>
      <c r="W9" s="0" t="n">
        <v>3870.47517498753</v>
      </c>
      <c r="X9" s="0" t="n">
        <v>4250.01461812303</v>
      </c>
      <c r="Y9" s="0" t="n">
        <v>4646.34247246886</v>
      </c>
      <c r="Z9" s="0" t="n">
        <v>4454.35019978894</v>
      </c>
      <c r="AA9" s="0" t="n">
        <v>3112.66888405889</v>
      </c>
      <c r="AB9" s="0" t="n">
        <v>3314.51097296294</v>
      </c>
      <c r="AC9" s="0" t="n">
        <v>3366.10431535445</v>
      </c>
      <c r="AD9" s="0" t="n">
        <v>3434.40701007089</v>
      </c>
      <c r="AE9" s="0" t="n">
        <v>3507.86067276685</v>
      </c>
      <c r="AF9" s="0" t="n">
        <v>3581.98736661724</v>
      </c>
      <c r="AG9" s="0" t="n">
        <v>3706.69041245628</v>
      </c>
      <c r="AH9" s="0" t="n">
        <v>3840.34661121319</v>
      </c>
      <c r="AI9" s="0" t="n">
        <v>3985.57602279611</v>
      </c>
      <c r="AJ9" s="0" t="n">
        <v>4135.25169997766</v>
      </c>
      <c r="AK9" s="0" t="n">
        <v>4307.84764250216</v>
      </c>
      <c r="AL9" s="0" t="n">
        <v>4471.62945612491</v>
      </c>
      <c r="AM9" s="0" t="n">
        <v>4616.82333170461</v>
      </c>
      <c r="AN9" s="0" t="n">
        <v>4776.68056352991</v>
      </c>
      <c r="AO9" s="0" t="n">
        <v>4972.56911385074</v>
      </c>
      <c r="AP9" s="0" t="n">
        <v>5177.51991207661</v>
      </c>
      <c r="AQ9" s="0" t="n">
        <v>5408.85924819607</v>
      </c>
      <c r="AR9" s="0" t="n">
        <v>5681.68278392204</v>
      </c>
      <c r="AS9" s="0" t="n">
        <v>5977.07425318774</v>
      </c>
      <c r="AT9" s="0" t="n">
        <v>6289.64255246172</v>
      </c>
      <c r="AU9" s="0" t="n">
        <v>6621.23591679923</v>
      </c>
      <c r="AV9" s="0" t="n">
        <v>6969.9043517119</v>
      </c>
      <c r="AW9" s="0" t="n">
        <v>7328.44001671703</v>
      </c>
      <c r="AX9" s="0" t="n">
        <v>7712.59231410006</v>
      </c>
      <c r="AY9" s="0" t="n">
        <v>8107.74470975402</v>
      </c>
      <c r="AZ9" s="0" t="n">
        <v>8522.1193665683</v>
      </c>
      <c r="BA9" s="0" t="n">
        <v>201813.286663223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D30"/>
  <sheetViews>
    <sheetView showFormulas="false" showGridLines="true" showRowColHeaders="true" showZeros="true" rightToLeft="false" tabSelected="true" showOutlineSymbols="true" defaultGridColor="true" view="normal" topLeftCell="A19" colorId="64" zoomScale="150" zoomScaleNormal="150" zoomScalePageLayoutView="100" workbookViewId="0">
      <selection pane="topLeft" activeCell="B2" activeCellId="0" sqref="B2:D30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B2" s="0" t="s">
        <v>12</v>
      </c>
      <c r="C2" s="0" t="s">
        <v>13</v>
      </c>
      <c r="D2" s="0" t="s">
        <v>14</v>
      </c>
    </row>
    <row r="3" customFormat="false" ht="13.8" hidden="false" customHeight="false" outlineLevel="0" collapsed="false">
      <c r="B3" s="2" t="n">
        <v>2023</v>
      </c>
      <c r="C3" s="7" t="n">
        <v>-11.2883100865044</v>
      </c>
      <c r="D3" s="7" t="n">
        <v>-12.2904780852601</v>
      </c>
    </row>
    <row r="4" customFormat="false" ht="13.8" hidden="false" customHeight="false" outlineLevel="0" collapsed="false">
      <c r="B4" s="2" t="n">
        <v>2024</v>
      </c>
      <c r="C4" s="7" t="n">
        <v>-20.6004542656301</v>
      </c>
      <c r="D4" s="7" t="n">
        <v>-21.8821520670489</v>
      </c>
    </row>
    <row r="5" customFormat="false" ht="13.8" hidden="false" customHeight="false" outlineLevel="0" collapsed="false">
      <c r="B5" s="2" t="n">
        <v>2025</v>
      </c>
      <c r="C5" s="7" t="n">
        <v>-25.2602866736585</v>
      </c>
      <c r="D5" s="7" t="n">
        <v>-47.0427724905389</v>
      </c>
    </row>
    <row r="6" customFormat="false" ht="13.8" hidden="false" customHeight="false" outlineLevel="0" collapsed="false">
      <c r="B6" s="2" t="n">
        <v>2026</v>
      </c>
      <c r="C6" s="7" t="n">
        <v>-44.0223092530301</v>
      </c>
      <c r="D6" s="7" t="n">
        <v>-72.1491748300954</v>
      </c>
    </row>
    <row r="7" customFormat="false" ht="13.8" hidden="false" customHeight="false" outlineLevel="0" collapsed="false">
      <c r="B7" s="2" t="n">
        <v>2027</v>
      </c>
      <c r="C7" s="7" t="n">
        <v>-69.5488894804972</v>
      </c>
      <c r="D7" s="7" t="n">
        <v>-101.349146604158</v>
      </c>
    </row>
    <row r="8" customFormat="false" ht="13.8" hidden="false" customHeight="false" outlineLevel="0" collapsed="false">
      <c r="B8" s="2" t="n">
        <v>2028</v>
      </c>
      <c r="C8" s="7" t="n">
        <v>-98.6507835881386</v>
      </c>
      <c r="D8" s="7" t="n">
        <v>-108.275140827015</v>
      </c>
    </row>
    <row r="9" customFormat="false" ht="13.8" hidden="false" customHeight="false" outlineLevel="0" collapsed="false">
      <c r="B9" s="2" t="n">
        <v>2029</v>
      </c>
      <c r="C9" s="7" t="n">
        <v>-130.591289326576</v>
      </c>
      <c r="D9" s="7" t="n">
        <v>-43.8203605224981</v>
      </c>
    </row>
    <row r="10" customFormat="false" ht="13.8" hidden="false" customHeight="false" outlineLevel="0" collapsed="false">
      <c r="B10" s="2" t="n">
        <v>2030</v>
      </c>
      <c r="C10" s="7" t="n">
        <v>-164.317582393743</v>
      </c>
      <c r="D10" s="7" t="n">
        <v>-7.65568657032205</v>
      </c>
    </row>
    <row r="11" customFormat="false" ht="13.8" hidden="false" customHeight="false" outlineLevel="0" collapsed="false">
      <c r="B11" s="2" t="n">
        <v>2031</v>
      </c>
      <c r="C11" s="7" t="n">
        <v>-198.886542121395</v>
      </c>
      <c r="D11" s="7" t="n">
        <v>-8.71045140526532</v>
      </c>
    </row>
    <row r="12" customFormat="false" ht="13.8" hidden="false" customHeight="false" outlineLevel="0" collapsed="false">
      <c r="B12" s="2" t="n">
        <v>2032</v>
      </c>
      <c r="C12" s="7" t="n">
        <v>-233.308089154106</v>
      </c>
      <c r="D12" s="7" t="n">
        <v>-10.8982753381187</v>
      </c>
    </row>
    <row r="13" customFormat="false" ht="13.8" hidden="false" customHeight="false" outlineLevel="0" collapsed="false">
      <c r="B13" s="2" t="n">
        <v>2033</v>
      </c>
      <c r="C13" s="7" t="n">
        <v>-270.452767960361</v>
      </c>
      <c r="D13" s="7" t="n">
        <v>-12.4816722827691</v>
      </c>
    </row>
    <row r="14" customFormat="false" ht="13.8" hidden="false" customHeight="false" outlineLevel="0" collapsed="false">
      <c r="B14" s="2" t="n">
        <v>2034</v>
      </c>
      <c r="C14" s="7" t="n">
        <v>-307.819744825288</v>
      </c>
      <c r="D14" s="7" t="n">
        <v>-14.0008163462818</v>
      </c>
    </row>
    <row r="15" customFormat="false" ht="13.8" hidden="false" customHeight="false" outlineLevel="0" collapsed="false">
      <c r="B15" s="2" t="n">
        <v>2035</v>
      </c>
      <c r="C15" s="7" t="n">
        <v>-339.761073570393</v>
      </c>
      <c r="D15" s="7" t="n">
        <v>-15.4344505709417</v>
      </c>
    </row>
    <row r="16" customFormat="false" ht="13.8" hidden="false" customHeight="false" outlineLevel="0" collapsed="false">
      <c r="B16" s="2" t="n">
        <v>2036</v>
      </c>
      <c r="C16" s="7" t="n">
        <v>-358.238240561759</v>
      </c>
      <c r="D16" s="7" t="n">
        <v>-18.5467156445108</v>
      </c>
    </row>
    <row r="17" customFormat="false" ht="13.8" hidden="false" customHeight="false" outlineLevel="0" collapsed="false">
      <c r="B17" s="2" t="n">
        <v>2037</v>
      </c>
      <c r="C17" s="7" t="n">
        <v>-368.584696586708</v>
      </c>
      <c r="D17" s="7" t="n">
        <v>-30.742597994593</v>
      </c>
    </row>
    <row r="18" customFormat="false" ht="13.8" hidden="false" customHeight="false" outlineLevel="0" collapsed="false">
      <c r="B18" s="2" t="n">
        <v>2038</v>
      </c>
      <c r="C18" s="7" t="n">
        <v>-390.605673454873</v>
      </c>
      <c r="D18" s="7" t="n">
        <v>-37.2901335765534</v>
      </c>
    </row>
    <row r="19" customFormat="false" ht="13.8" hidden="false" customHeight="false" outlineLevel="0" collapsed="false">
      <c r="B19" s="2" t="n">
        <v>2039</v>
      </c>
      <c r="C19" s="7" t="n">
        <v>-409.225054250312</v>
      </c>
      <c r="D19" s="7" t="n">
        <v>-51.4374659881743</v>
      </c>
    </row>
    <row r="20" customFormat="false" ht="13.8" hidden="false" customHeight="false" outlineLevel="0" collapsed="false">
      <c r="B20" s="2" t="n">
        <v>2040</v>
      </c>
      <c r="C20" s="7" t="n">
        <v>-415.178968018122</v>
      </c>
      <c r="D20" s="7" t="n">
        <v>-65.155299240942</v>
      </c>
    </row>
    <row r="21" customFormat="false" ht="13.8" hidden="false" customHeight="false" outlineLevel="0" collapsed="false">
      <c r="B21" s="2" t="n">
        <v>2041</v>
      </c>
      <c r="C21" s="7" t="n">
        <v>-423.398273356922</v>
      </c>
      <c r="D21" s="7" t="n">
        <v>-66.9105778615859</v>
      </c>
    </row>
    <row r="22" customFormat="false" ht="13.8" hidden="false" customHeight="false" outlineLevel="0" collapsed="false">
      <c r="B22" s="2" t="n">
        <v>2042</v>
      </c>
      <c r="C22" s="7" t="n">
        <v>-464.976225270299</v>
      </c>
      <c r="D22" s="7" t="n">
        <v>-80.3194437147623</v>
      </c>
    </row>
    <row r="23" customFormat="false" ht="13.8" hidden="false" customHeight="false" outlineLevel="0" collapsed="false">
      <c r="B23" s="2" t="n">
        <v>2043</v>
      </c>
      <c r="C23" s="7" t="n">
        <v>-515.963800089445</v>
      </c>
      <c r="D23" s="7" t="n">
        <v>-96.9153974872793</v>
      </c>
    </row>
    <row r="24" customFormat="false" ht="13.8" hidden="false" customHeight="false" outlineLevel="0" collapsed="false">
      <c r="B24" s="2" t="n">
        <v>2044</v>
      </c>
      <c r="C24" s="7" t="n">
        <v>-571.310223318843</v>
      </c>
      <c r="D24" s="7" t="n">
        <v>-108.419731670348</v>
      </c>
    </row>
    <row r="25" customFormat="false" ht="13.8" hidden="false" customHeight="false" outlineLevel="0" collapsed="false">
      <c r="B25" s="2" t="n">
        <v>2045</v>
      </c>
      <c r="C25" s="7" t="n">
        <v>-610.515687660475</v>
      </c>
      <c r="D25" s="7" t="n">
        <v>-112.951719658244</v>
      </c>
    </row>
    <row r="26" customFormat="false" ht="13.8" hidden="false" customHeight="false" outlineLevel="0" collapsed="false">
      <c r="B26" s="2" t="n">
        <v>2046</v>
      </c>
      <c r="C26" s="7" t="n">
        <v>-648.268603437802</v>
      </c>
      <c r="D26" s="7" t="n">
        <v>-130.155018831911</v>
      </c>
    </row>
    <row r="27" customFormat="false" ht="13.8" hidden="false" customHeight="false" outlineLevel="0" collapsed="false">
      <c r="B27" s="2" t="n">
        <v>2047</v>
      </c>
      <c r="C27" s="7" t="n">
        <v>-693.883266383067</v>
      </c>
      <c r="D27" s="7" t="n">
        <v>-156.2296491365</v>
      </c>
    </row>
    <row r="28" customFormat="false" ht="13.8" hidden="false" customHeight="false" outlineLevel="0" collapsed="false">
      <c r="B28" s="2" t="n">
        <v>2048</v>
      </c>
      <c r="C28" s="7" t="n">
        <v>-787.633569177994</v>
      </c>
      <c r="D28" s="7" t="n">
        <v>-186.736690090982</v>
      </c>
    </row>
    <row r="29" customFormat="false" ht="13.8" hidden="false" customHeight="false" outlineLevel="0" collapsed="false">
      <c r="B29" s="2" t="n">
        <v>2049</v>
      </c>
      <c r="C29" s="7" t="n">
        <v>-877.112718553982</v>
      </c>
      <c r="D29" s="7" t="n">
        <v>-223.029860042029</v>
      </c>
    </row>
    <row r="30" customFormat="false" ht="13.8" hidden="false" customHeight="false" outlineLevel="0" collapsed="false">
      <c r="B30" s="2" t="n">
        <v>2050</v>
      </c>
      <c r="C30" s="7" t="n">
        <v>-959.575351148218</v>
      </c>
      <c r="D30" s="7" t="n">
        <v>-234.080708086911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2025-12-05T19:31:40Z</dcterms:created>
  <dc:creator>Emilio</dc:creator>
  <dc:description/>
  <dc:language>es-AR</dc:language>
  <cp:lastModifiedBy/>
  <dcterms:modified xsi:type="dcterms:W3CDTF">2025-12-11T19:47:32Z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