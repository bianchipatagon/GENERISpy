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5"/>
  </bookViews>
  <sheets>
    <sheet name="2030" sheetId="1" state="visible" r:id="rId2"/>
    <sheet name="2040" sheetId="2" state="visible" r:id="rId3"/>
    <sheet name="2050" sheetId="3" state="visible" r:id="rId4"/>
    <sheet name="2030T" sheetId="4" state="visible" r:id="rId5"/>
    <sheet name="2040T" sheetId="5" state="visible" r:id="rId6"/>
    <sheet name="2050T" sheetId="6" state="visible" r:id="rId7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<sst xmlns="http://schemas.openxmlformats.org/spreadsheetml/2006/main" count="344" uniqueCount="57">
  <si>
    <t xml:space="preserve">Power Generation</t>
  </si>
  <si>
    <t xml:space="preserve">Scenario: Alternativo Generacion Distribuida Differences vs. Alternativo Base ESO Transmision, 2030, All Regions</t>
  </si>
  <si>
    <t xml:space="preserve">Branch: Transformation\Centrales Eléctricas\Processes</t>
  </si>
  <si>
    <t xml:space="preserve">Units: Megawatts</t>
  </si>
  <si>
    <t xml:space="preserve">Branch</t>
  </si>
  <si>
    <t xml:space="preserve">Dry: Hr 1-2</t>
  </si>
  <si>
    <t xml:space="preserve">Dry: Hr 3-4</t>
  </si>
  <si>
    <t xml:space="preserve">Dry: Hr 5-6</t>
  </si>
  <si>
    <t xml:space="preserve">Dry: Hr 7-8</t>
  </si>
  <si>
    <t xml:space="preserve">Dry: Hr 9-10</t>
  </si>
  <si>
    <t xml:space="preserve">Dry: Hr 11-12</t>
  </si>
  <si>
    <t xml:space="preserve">Dry: Hr 13-14</t>
  </si>
  <si>
    <t xml:space="preserve">Dry: Hr 15-16</t>
  </si>
  <si>
    <t xml:space="preserve">Dry: Hr 17-18</t>
  </si>
  <si>
    <t xml:space="preserve">Dry: Hr 19-20</t>
  </si>
  <si>
    <t xml:space="preserve">Dry: Hr 21-22</t>
  </si>
  <si>
    <t xml:space="preserve">Dry: Hr 23-24</t>
  </si>
  <si>
    <t xml:space="preserve">Wet: Hr 1-2</t>
  </si>
  <si>
    <t xml:space="preserve">Wet: Hr 3-4</t>
  </si>
  <si>
    <t xml:space="preserve">Wet: Hr 5-6</t>
  </si>
  <si>
    <t xml:space="preserve">Wet: Hr 7-8</t>
  </si>
  <si>
    <t xml:space="preserve">Wet: Hr 9-10</t>
  </si>
  <si>
    <t xml:space="preserve">Wet: Hr 11-12</t>
  </si>
  <si>
    <t xml:space="preserve">Wet: Hr 13-14</t>
  </si>
  <si>
    <t xml:space="preserve">Wet: Hr 15-16</t>
  </si>
  <si>
    <t xml:space="preserve">Wet: Hr 17-18</t>
  </si>
  <si>
    <t xml:space="preserve">Wet: Hr 19-20</t>
  </si>
  <si>
    <t xml:space="preserve">Wet: Hr 21-22</t>
  </si>
  <si>
    <t xml:space="preserve">Wet: Hr 23-24</t>
  </si>
  <si>
    <t xml:space="preserve">Total</t>
  </si>
  <si>
    <t xml:space="preserve">Motor Dual_ex</t>
  </si>
  <si>
    <t xml:space="preserve">CC_ex</t>
  </si>
  <si>
    <t xml:space="preserve">Solar_ex</t>
  </si>
  <si>
    <t xml:space="preserve">Solar_nv</t>
  </si>
  <si>
    <t xml:space="preserve">Eolica_ex</t>
  </si>
  <si>
    <t xml:space="preserve">Eolica_nuevas_SC</t>
  </si>
  <si>
    <t xml:space="preserve">Hidroelectrica_ex</t>
  </si>
  <si>
    <t xml:space="preserve">Hidro Rositas</t>
  </si>
  <si>
    <t xml:space="preserve">Hidro Otras</t>
  </si>
  <si>
    <t xml:space="preserve">Motor</t>
  </si>
  <si>
    <t xml:space="preserve">CC</t>
  </si>
  <si>
    <t xml:space="preserve">Solar</t>
  </si>
  <si>
    <t xml:space="preserve">Eolica</t>
  </si>
  <si>
    <t xml:space="preserve">Hidro</t>
  </si>
  <si>
    <t xml:space="preserve">Scenario: Alternativo Generacion Distribuida Differences vs. Alternativo Base ESO Transmision, 2040, All Regions</t>
  </si>
  <si>
    <t xml:space="preserve">Scenario: Alternativo Generacion Distribuida Differences vs. Alternativo Base ESO Transmision, 2050, All Regions</t>
  </si>
  <si>
    <t xml:space="preserve">TG_ex</t>
  </si>
  <si>
    <t xml:space="preserve">TV_ex</t>
  </si>
  <si>
    <t xml:space="preserve">hora</t>
  </si>
  <si>
    <t xml:space="preserve">Motorn</t>
  </si>
  <si>
    <t xml:space="preserve">Ccn</t>
  </si>
  <si>
    <t xml:space="preserve">Fosil</t>
  </si>
  <si>
    <t xml:space="preserve">Fosiln</t>
  </si>
  <si>
    <t xml:space="preserve">Solarn</t>
  </si>
  <si>
    <t xml:space="preserve">Eolican</t>
  </si>
  <si>
    <t xml:space="preserve">Hidron</t>
  </si>
  <si>
    <t xml:space="preserve">Eoilican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</si>
</sst>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_-* #,##0.00_-;\-* #,##0.00_-;_-* \-??_-;_-@_-"/>
    <numFmt numFmtId="166" formatCode="_ * #,##0.000_ ;_ * \-#,##0.000_ ;_ * \-??_ ;_ @_ "/>
  </numFmts>
  <fonts count="4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7">
    <fill>
      <patternFill patternType="none"/>
    </fill>
    <fill>
      <patternFill patternType="gray125"/>
    </fill>
    <fill>
      <patternFill patternType="solid">
        <fgColor rgb="FFDCDCDC"/>
        <bgColor rgb="FFE2EDFA"/>
      </patternFill>
    </fill>
    <fill>
      <patternFill patternType="solid">
        <fgColor rgb="FFE2EDFA"/>
        <bgColor rgb="FFDCDCDC"/>
      </patternFill>
    </fill>
    <fill>
      <patternFill patternType="solid">
        <fgColor rgb="FF575757"/>
        <bgColor rgb="FF333333"/>
      </patternFill>
    </fill>
    <fill>
      <patternFill patternType="solid">
        <fgColor rgb="FFABABAB"/>
        <bgColor rgb="FF969696"/>
      </patternFill>
    </fill>
    <fill>
      <patternFill patternType="solid">
        <fgColor rgb="FF000000"/>
        <bgColor rgb="FF00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165" fontId="0" fillId="0" borderId="0" applyFont="true" applyBorder="false" applyAlignment="true" applyProtection="false">
      <alignment horizontal="general" vertical="bottom" textRotation="0" wrapText="false" indent="0" shrinkToFit="false"/>
    </xf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4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5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6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3" borderId="0" xfId="15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ABABAB"/>
      <rgbColor rgb="FF808080"/>
      <rgbColor rgb="FF9999FF"/>
      <rgbColor rgb="FF993366"/>
      <rgbColor rgb="FFFFFFCC"/>
      <rgbColor rgb="FFE2EDFA"/>
      <rgbColor rgb="FF660066"/>
      <rgbColor rgb="FFFF8080"/>
      <rgbColor rgb="FF0066CC"/>
      <rgbColor rgb="FFDCDC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75757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2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6" topLeftCell="B7" activePane="bottomRight" state="frozen"/>
      <selection pane="topLeft" activeCell="A1" activeCellId="0" sqref="A1"/>
      <selection pane="topRight" activeCell="B1" activeCellId="0" sqref="B1"/>
      <selection pane="bottomLeft" activeCell="A7" activeCellId="0" sqref="A7"/>
      <selection pane="bottomRight" activeCell="A17" activeCellId="1" sqref="F30:M54 A17"/>
    </sheetView>
  </sheetViews>
  <sheetFormatPr defaultColWidth="10.6875" defaultRowHeight="15" zeroHeight="false" outlineLevelRow="0" outlineLevelCol="0"/>
  <cols>
    <col collapsed="false" customWidth="true" hidden="false" outlineLevel="0" max="1" min="1" style="0" width="23.42"/>
    <col collapsed="false" customWidth="true" hidden="false" outlineLevel="0" max="5" min="2" style="0" width="10.14"/>
    <col collapsed="false" customWidth="true" hidden="false" outlineLevel="0" max="6" min="6" style="0" width="11.14"/>
    <col collapsed="false" customWidth="true" hidden="false" outlineLevel="0" max="13" min="7" style="0" width="12.14"/>
    <col collapsed="false" customWidth="true" hidden="false" outlineLevel="0" max="17" min="14" style="0" width="10.85"/>
    <col collapsed="false" customWidth="true" hidden="false" outlineLevel="0" max="18" min="18" style="0" width="11.86"/>
    <col collapsed="false" customWidth="true" hidden="false" outlineLevel="0" max="25" min="19" style="0" width="12.86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1" t="s">
        <v>1</v>
      </c>
    </row>
    <row r="3" customFormat="false" ht="15" hidden="false" customHeight="false" outlineLevel="0" collapsed="false">
      <c r="A3" s="1" t="s">
        <v>2</v>
      </c>
    </row>
    <row r="4" customFormat="false" ht="15" hidden="false" customHeight="false" outlineLevel="0" collapsed="false">
      <c r="A4" s="1" t="s">
        <v>3</v>
      </c>
    </row>
    <row r="5" customFormat="false" ht="15" hidden="false" customHeight="false" outlineLevel="0" collapsed="false">
      <c r="A5" s="1"/>
    </row>
    <row r="6" customFormat="false" ht="15" hidden="false" customHeight="false" outlineLevel="0" collapsed="false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  <c r="F6" s="2" t="s">
        <v>9</v>
      </c>
      <c r="G6" s="2" t="s">
        <v>10</v>
      </c>
      <c r="H6" s="2" t="s">
        <v>11</v>
      </c>
      <c r="I6" s="2" t="s">
        <v>12</v>
      </c>
      <c r="J6" s="2" t="s">
        <v>13</v>
      </c>
      <c r="K6" s="2" t="s">
        <v>14</v>
      </c>
      <c r="L6" s="2" t="s">
        <v>15</v>
      </c>
      <c r="M6" s="2" t="s">
        <v>16</v>
      </c>
      <c r="N6" s="2" t="s">
        <v>17</v>
      </c>
      <c r="O6" s="2" t="s">
        <v>18</v>
      </c>
      <c r="P6" s="2" t="s">
        <v>19</v>
      </c>
      <c r="Q6" s="2" t="s">
        <v>20</v>
      </c>
      <c r="R6" s="2" t="s">
        <v>21</v>
      </c>
      <c r="S6" s="2" t="s">
        <v>22</v>
      </c>
      <c r="T6" s="2" t="s">
        <v>23</v>
      </c>
      <c r="U6" s="2" t="s">
        <v>24</v>
      </c>
      <c r="V6" s="2" t="s">
        <v>25</v>
      </c>
      <c r="W6" s="2" t="s">
        <v>26</v>
      </c>
      <c r="X6" s="2" t="s">
        <v>27</v>
      </c>
      <c r="Y6" s="2" t="s">
        <v>28</v>
      </c>
      <c r="Z6" s="2" t="s">
        <v>29</v>
      </c>
    </row>
    <row r="7" customFormat="false" ht="15" hidden="false" customHeight="false" outlineLevel="0" collapsed="false">
      <c r="A7" s="0" t="s">
        <v>30</v>
      </c>
      <c r="B7" s="3" t="n">
        <v>0</v>
      </c>
      <c r="C7" s="3" t="n">
        <v>0</v>
      </c>
      <c r="D7" s="3" t="n">
        <v>-4.76936990216927E-005</v>
      </c>
      <c r="E7" s="3" t="n">
        <v>-11.5300695234764</v>
      </c>
      <c r="F7" s="3" t="n">
        <v>-0.99078890365209</v>
      </c>
      <c r="G7" s="3" t="n">
        <v>-1.4271543903869</v>
      </c>
      <c r="H7" s="3" t="n">
        <v>-1.44763101235371</v>
      </c>
      <c r="I7" s="3" t="n">
        <v>-1.11423603105017</v>
      </c>
      <c r="J7" s="3" t="n">
        <v>-0.351915970835311</v>
      </c>
      <c r="K7" s="3" t="n">
        <v>-0.000461102682220371</v>
      </c>
      <c r="L7" s="3" t="n">
        <v>-6.35280071110174E-005</v>
      </c>
      <c r="M7" s="3" t="n">
        <v>9.09494701772928E-015</v>
      </c>
      <c r="N7" s="3" t="n">
        <v>0</v>
      </c>
      <c r="O7" s="3" t="n">
        <v>0</v>
      </c>
      <c r="P7" s="3" t="n">
        <v>-0.000597907183120697</v>
      </c>
      <c r="Q7" s="3" t="n">
        <v>-0.226906066899624</v>
      </c>
      <c r="R7" s="3" t="n">
        <v>-1.00271788512082</v>
      </c>
      <c r="S7" s="3" t="n">
        <v>-1.40093492954072</v>
      </c>
      <c r="T7" s="3" t="n">
        <v>-1.36329489784145</v>
      </c>
      <c r="U7" s="3" t="n">
        <v>-1.07200181024893</v>
      </c>
      <c r="V7" s="3" t="n">
        <v>-0.420681326853386</v>
      </c>
      <c r="W7" s="3" t="n">
        <v>-0.0118625328154267</v>
      </c>
      <c r="X7" s="3" t="n">
        <v>0</v>
      </c>
      <c r="Y7" s="3" t="n">
        <v>-6.50288711767644E-014</v>
      </c>
      <c r="Z7" s="4" t="n">
        <v>-22.3613655126465</v>
      </c>
    </row>
    <row r="8" customFormat="false" ht="15" hidden="false" customHeight="false" outlineLevel="0" collapsed="false">
      <c r="A8" s="0" t="s">
        <v>31</v>
      </c>
      <c r="B8" s="3" t="n">
        <v>1.16415321826935E-013</v>
      </c>
      <c r="C8" s="3" t="n">
        <v>0</v>
      </c>
      <c r="D8" s="3" t="n">
        <v>-0.00596966344927205</v>
      </c>
      <c r="E8" s="3" t="n">
        <v>-11.1312974980298</v>
      </c>
      <c r="F8" s="3" t="n">
        <v>0</v>
      </c>
      <c r="G8" s="3" t="n">
        <v>0</v>
      </c>
      <c r="H8" s="3" t="n">
        <v>0</v>
      </c>
      <c r="I8" s="3" t="n">
        <v>0</v>
      </c>
      <c r="J8" s="3" t="n">
        <v>0</v>
      </c>
      <c r="K8" s="3" t="n">
        <v>-0.00695216650118528</v>
      </c>
      <c r="L8" s="3" t="n">
        <v>-0.000957828483609774</v>
      </c>
      <c r="M8" s="3" t="n">
        <v>0</v>
      </c>
      <c r="N8" s="3" t="n">
        <v>0</v>
      </c>
      <c r="O8" s="3" t="n">
        <v>-2.91038304567337E-014</v>
      </c>
      <c r="P8" s="3" t="n">
        <v>-0.0090148039679043</v>
      </c>
      <c r="Q8" s="3" t="n">
        <v>0</v>
      </c>
      <c r="R8" s="3" t="n">
        <v>0</v>
      </c>
      <c r="S8" s="3" t="n">
        <v>0</v>
      </c>
      <c r="T8" s="3" t="n">
        <v>0</v>
      </c>
      <c r="U8" s="3" t="n">
        <v>0</v>
      </c>
      <c r="V8" s="3" t="n">
        <v>0</v>
      </c>
      <c r="W8" s="3" t="n">
        <v>-0.17885452945334</v>
      </c>
      <c r="X8" s="3" t="n">
        <v>0</v>
      </c>
      <c r="Y8" s="3" t="n">
        <v>0</v>
      </c>
      <c r="Z8" s="4" t="n">
        <v>-11.3330464898851</v>
      </c>
    </row>
    <row r="9" customFormat="false" ht="15" hidden="false" customHeight="false" outlineLevel="0" collapsed="false">
      <c r="A9" s="0" t="s">
        <v>32</v>
      </c>
      <c r="B9" s="3" t="n">
        <v>0</v>
      </c>
      <c r="C9" s="3" t="n">
        <v>0</v>
      </c>
      <c r="D9" s="3" t="n">
        <v>0</v>
      </c>
      <c r="E9" s="3" t="n">
        <v>0</v>
      </c>
      <c r="F9" s="3" t="n">
        <v>0</v>
      </c>
      <c r="G9" s="3" t="n">
        <v>0</v>
      </c>
      <c r="H9" s="3" t="n">
        <v>0</v>
      </c>
      <c r="I9" s="3" t="n">
        <v>21.0276</v>
      </c>
      <c r="J9" s="3" t="n">
        <v>0</v>
      </c>
      <c r="K9" s="3" t="n">
        <v>0</v>
      </c>
      <c r="L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R9" s="5" t="n">
        <v>-33.088</v>
      </c>
      <c r="S9" s="3" t="n">
        <v>0</v>
      </c>
      <c r="T9" s="5" t="n">
        <v>-39.3371823954836</v>
      </c>
      <c r="U9" s="3" t="n">
        <v>35.3792</v>
      </c>
      <c r="V9" s="3" t="n">
        <v>0</v>
      </c>
      <c r="W9" s="3" t="n">
        <v>-0.61</v>
      </c>
      <c r="X9" s="3" t="n">
        <v>0</v>
      </c>
      <c r="Y9" s="3" t="n">
        <v>0</v>
      </c>
      <c r="Z9" s="4" t="n">
        <v>-16.6283823954836</v>
      </c>
    </row>
    <row r="10" customFormat="false" ht="15" hidden="false" customHeight="false" outlineLevel="0" collapsed="false">
      <c r="A10" s="0" t="s">
        <v>33</v>
      </c>
      <c r="B10" s="3" t="n">
        <v>0</v>
      </c>
      <c r="C10" s="3" t="n">
        <v>0</v>
      </c>
      <c r="D10" s="3" t="n">
        <v>0</v>
      </c>
      <c r="E10" s="3" t="n">
        <v>0</v>
      </c>
      <c r="F10" s="3" t="n">
        <v>10.388</v>
      </c>
      <c r="G10" s="5" t="n">
        <v>-120.87035219249</v>
      </c>
      <c r="H10" s="4" t="n">
        <v>-306.561236295201</v>
      </c>
      <c r="I10" s="3" t="n">
        <v>0</v>
      </c>
      <c r="J10" s="3" t="n">
        <v>71.9398313113767</v>
      </c>
      <c r="K10" s="3" t="n">
        <v>0</v>
      </c>
      <c r="L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4.914</v>
      </c>
      <c r="R10" s="3" t="n">
        <v>0</v>
      </c>
      <c r="S10" s="5" t="n">
        <v>-88.6114174587338</v>
      </c>
      <c r="T10" s="5" t="n">
        <v>-83.5377953297337</v>
      </c>
      <c r="U10" s="3" t="n">
        <v>0</v>
      </c>
      <c r="V10" s="5" t="n">
        <v>-77.680064100181</v>
      </c>
      <c r="W10" s="3" t="n">
        <v>1.0858</v>
      </c>
      <c r="X10" s="3" t="n">
        <v>0</v>
      </c>
      <c r="Y10" s="3" t="n">
        <v>0</v>
      </c>
      <c r="Z10" s="4" t="n">
        <v>-588.933234064963</v>
      </c>
    </row>
    <row r="11" customFormat="false" ht="15" hidden="false" customHeight="false" outlineLevel="0" collapsed="false">
      <c r="A11" s="0" t="s">
        <v>34</v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8.419203</v>
      </c>
      <c r="G11" s="5" t="n">
        <v>-37.2909006</v>
      </c>
      <c r="H11" s="3" t="n">
        <v>0</v>
      </c>
      <c r="I11" s="3" t="n">
        <v>-13.0005522</v>
      </c>
      <c r="J11" s="3" t="n">
        <v>0</v>
      </c>
      <c r="K11" s="3" t="n">
        <v>0</v>
      </c>
      <c r="L11" s="3" t="n">
        <v>0</v>
      </c>
      <c r="M11" s="3" t="n">
        <v>0</v>
      </c>
      <c r="N11" s="3" t="n">
        <v>-7.9850106</v>
      </c>
      <c r="O11" s="3" t="n">
        <v>-7.6671621</v>
      </c>
      <c r="P11" s="3" t="n">
        <v>0</v>
      </c>
      <c r="Q11" s="3" t="n">
        <v>26.767638</v>
      </c>
      <c r="R11" s="3" t="n">
        <v>0</v>
      </c>
      <c r="S11" s="3" t="n">
        <v>9.56035935</v>
      </c>
      <c r="T11" s="3" t="n">
        <v>0</v>
      </c>
      <c r="U11" s="5" t="n">
        <v>-38.8052073</v>
      </c>
      <c r="V11" s="3" t="n">
        <v>0</v>
      </c>
      <c r="W11" s="3" t="n">
        <v>0</v>
      </c>
      <c r="X11" s="3" t="n">
        <v>43.2382824</v>
      </c>
      <c r="Y11" s="3" t="n">
        <v>0</v>
      </c>
      <c r="Z11" s="4" t="n">
        <v>-16.76335005</v>
      </c>
    </row>
    <row r="12" customFormat="false" ht="15" hidden="false" customHeight="false" outlineLevel="0" collapsed="false">
      <c r="A12" s="0" t="s">
        <v>35</v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103.574833333333</v>
      </c>
      <c r="G12" s="3" t="n">
        <v>0</v>
      </c>
      <c r="H12" s="3" t="n">
        <v>0</v>
      </c>
      <c r="I12" s="3" t="n">
        <v>50.6346141346484</v>
      </c>
      <c r="J12" s="3" t="n">
        <v>0</v>
      </c>
      <c r="K12" s="3" t="n">
        <v>0</v>
      </c>
      <c r="L12" s="3" t="n">
        <v>0</v>
      </c>
      <c r="M12" s="3" t="n">
        <v>0</v>
      </c>
      <c r="N12" s="3" t="n">
        <v>-8.68242953943349</v>
      </c>
      <c r="O12" s="3" t="n">
        <v>11.0471277181851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4" t="n">
        <v>-194.694041666667</v>
      </c>
      <c r="V12" s="3" t="n">
        <v>0</v>
      </c>
      <c r="W12" s="3" t="n">
        <v>0</v>
      </c>
      <c r="X12" s="5" t="n">
        <v>-97.068327927586</v>
      </c>
      <c r="Y12" s="3" t="n">
        <v>-11.0806675120603</v>
      </c>
      <c r="Z12" s="4" t="n">
        <v>-146.26889145958</v>
      </c>
    </row>
    <row r="13" customFormat="false" ht="15" hidden="false" customHeight="false" outlineLevel="0" collapsed="false">
      <c r="A13" s="0" t="s">
        <v>36</v>
      </c>
      <c r="B13" s="3" t="n">
        <v>0</v>
      </c>
      <c r="C13" s="3" t="n">
        <v>0</v>
      </c>
      <c r="D13" s="3" t="n">
        <v>0</v>
      </c>
      <c r="E13" s="3" t="n">
        <v>0</v>
      </c>
      <c r="F13" s="4" t="n">
        <v>-246.395824834028</v>
      </c>
      <c r="G13" s="3" t="n">
        <v>-20.4709685362891</v>
      </c>
      <c r="H13" s="3" t="n">
        <v>125.366023539651</v>
      </c>
      <c r="I13" s="6" t="n">
        <v>140.655468868526</v>
      </c>
      <c r="J13" s="3" t="n">
        <v>4.06977194023476</v>
      </c>
      <c r="K13" s="5" t="n">
        <v>-135.712433042338</v>
      </c>
      <c r="L13" s="5" t="n">
        <v>-79.0197990750493</v>
      </c>
      <c r="M13" s="3" t="n">
        <v>0</v>
      </c>
      <c r="N13" s="3" t="n">
        <v>0</v>
      </c>
      <c r="O13" s="3" t="n">
        <v>-3.379965618185</v>
      </c>
      <c r="P13" s="3" t="n">
        <v>-0.0658232717082137</v>
      </c>
      <c r="Q13" s="5" t="n">
        <v>-75.9459523827854</v>
      </c>
      <c r="R13" s="5" t="n">
        <v>-35.7063802633128</v>
      </c>
      <c r="S13" s="5" t="n">
        <v>-96.2993595381543</v>
      </c>
      <c r="T13" s="3" t="n">
        <v>0</v>
      </c>
      <c r="U13" s="6" t="n">
        <v>285.61126304554</v>
      </c>
      <c r="V13" s="6" t="n">
        <v>209.525439363333</v>
      </c>
      <c r="W13" s="3" t="n">
        <v>114.234290821155</v>
      </c>
      <c r="X13" s="3" t="n">
        <v>53.8300455275862</v>
      </c>
      <c r="Y13" s="3" t="n">
        <v>11.0806675120605</v>
      </c>
      <c r="Z13" s="4" t="n">
        <v>251.376464056237</v>
      </c>
    </row>
    <row r="14" customFormat="false" ht="15" hidden="false" customHeight="false" outlineLevel="0" collapsed="false">
      <c r="A14" s="0" t="s">
        <v>37</v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4" t="n">
        <v>-338.782390239538</v>
      </c>
      <c r="J14" s="3" t="n">
        <v>0</v>
      </c>
      <c r="K14" s="6" t="n">
        <v>135.661670502609</v>
      </c>
      <c r="L14" s="3" t="n">
        <v>79.0128053118179</v>
      </c>
      <c r="M14" s="3" t="n">
        <v>0</v>
      </c>
      <c r="N14" s="3" t="n">
        <v>16.6674401394336</v>
      </c>
      <c r="O14" s="3" t="n">
        <v>0</v>
      </c>
      <c r="P14" s="3" t="n">
        <v>0</v>
      </c>
      <c r="Q14" s="3" t="n">
        <v>0</v>
      </c>
      <c r="R14" s="5" t="n">
        <v>-90.4684242588176</v>
      </c>
      <c r="S14" s="3" t="n">
        <v>0</v>
      </c>
      <c r="T14" s="3" t="n">
        <v>0</v>
      </c>
      <c r="U14" s="5" t="n">
        <v>-172.137315316347</v>
      </c>
      <c r="V14" s="3" t="n">
        <v>0</v>
      </c>
      <c r="W14" s="3" t="n">
        <v>0</v>
      </c>
      <c r="X14" s="3" t="n">
        <v>0</v>
      </c>
      <c r="Y14" s="3" t="n">
        <v>0</v>
      </c>
      <c r="Z14" s="4" t="n">
        <v>-370.046213860841</v>
      </c>
    </row>
    <row r="15" customFormat="false" ht="15" hidden="false" customHeight="false" outlineLevel="0" collapsed="false">
      <c r="A15" s="0" t="s">
        <v>38</v>
      </c>
      <c r="B15" s="3" t="n">
        <v>0</v>
      </c>
      <c r="C15" s="3" t="n">
        <v>0</v>
      </c>
      <c r="D15" s="3" t="n">
        <v>0</v>
      </c>
      <c r="E15" s="3" t="n">
        <v>0</v>
      </c>
      <c r="F15" s="3" t="n">
        <v>0</v>
      </c>
      <c r="G15" s="3" t="n">
        <v>0</v>
      </c>
      <c r="H15" s="3" t="n">
        <v>0</v>
      </c>
      <c r="I15" s="3" t="n">
        <v>0</v>
      </c>
      <c r="J15" s="5" t="n">
        <v>-120.057767917484</v>
      </c>
      <c r="K15" s="3" t="n">
        <v>0</v>
      </c>
      <c r="L15" s="3" t="n">
        <v>0</v>
      </c>
      <c r="M15" s="3" t="n">
        <v>0</v>
      </c>
      <c r="N15" s="3" t="n">
        <v>0</v>
      </c>
      <c r="O15" s="3" t="n">
        <v>0</v>
      </c>
      <c r="P15" s="3" t="n">
        <v>0</v>
      </c>
      <c r="Q15" s="3" t="n">
        <v>15.8632282520353</v>
      </c>
      <c r="R15" s="3" t="n">
        <v>33.7559046437874</v>
      </c>
      <c r="S15" s="3" t="n">
        <v>0</v>
      </c>
      <c r="T15" s="5" t="n">
        <v>-47.7641609467987</v>
      </c>
      <c r="U15" s="5" t="n">
        <v>-49.5328396837847</v>
      </c>
      <c r="V15" s="4" t="n">
        <v>-184.50067338194</v>
      </c>
      <c r="W15" s="5" t="n">
        <v>-116.016030509958</v>
      </c>
      <c r="X15" s="3" t="n">
        <v>0</v>
      </c>
      <c r="Y15" s="3" t="n">
        <v>0</v>
      </c>
      <c r="Z15" s="4" t="n">
        <v>-468.252339544142</v>
      </c>
    </row>
    <row r="16" customFormat="false" ht="15" hidden="false" customHeight="false" outlineLevel="0" collapsed="false">
      <c r="A16" s="2" t="s">
        <v>29</v>
      </c>
      <c r="B16" s="7" t="n">
        <v>1.16415321826935E-013</v>
      </c>
      <c r="C16" s="7" t="n">
        <v>0</v>
      </c>
      <c r="D16" s="7" t="n">
        <v>-0.00601735714829374</v>
      </c>
      <c r="E16" s="7" t="n">
        <v>-22.6613670215062</v>
      </c>
      <c r="F16" s="7" t="n">
        <v>-125.004577404347</v>
      </c>
      <c r="G16" s="7" t="n">
        <v>-180.059375719166</v>
      </c>
      <c r="H16" s="7" t="n">
        <v>-182.642843767904</v>
      </c>
      <c r="I16" s="7" t="n">
        <v>-140.579495467413</v>
      </c>
      <c r="J16" s="7" t="n">
        <v>-44.4000806367081</v>
      </c>
      <c r="K16" s="7" t="n">
        <v>-0.0581758089122848</v>
      </c>
      <c r="L16" s="7" t="n">
        <v>-0.00801511972209892</v>
      </c>
      <c r="M16" s="7" t="n">
        <v>9.09494701772928E-015</v>
      </c>
      <c r="N16" s="7" t="n">
        <v>1.07469588783715E-013</v>
      </c>
      <c r="O16" s="7" t="n">
        <v>5.79376546738786E-014</v>
      </c>
      <c r="P16" s="7" t="n">
        <v>-0.0754359828592387</v>
      </c>
      <c r="Q16" s="7" t="n">
        <v>-28.6279921976497</v>
      </c>
      <c r="R16" s="7" t="n">
        <v>-126.509617763464</v>
      </c>
      <c r="S16" s="7" t="n">
        <v>-176.751352576429</v>
      </c>
      <c r="T16" s="7" t="n">
        <v>-172.002433569857</v>
      </c>
      <c r="U16" s="7" t="n">
        <v>-135.250942731507</v>
      </c>
      <c r="V16" s="7" t="n">
        <v>-53.0759794456409</v>
      </c>
      <c r="W16" s="7" t="n">
        <v>-1.49665675107128</v>
      </c>
      <c r="X16" s="7" t="n">
        <v>1.84741111297626E-013</v>
      </c>
      <c r="Y16" s="7" t="n">
        <v>1.39252165354264E-013</v>
      </c>
      <c r="Z16" s="7" t="n">
        <v>-1389.2103593213</v>
      </c>
    </row>
    <row r="17" customFormat="false" ht="15" hidden="false" customHeight="false" outlineLevel="0" collapsed="false">
      <c r="A17" s="0" t="s">
        <v>39</v>
      </c>
      <c r="B17" s="8" t="n">
        <f aca="false">B7</f>
        <v>0</v>
      </c>
      <c r="C17" s="8" t="n">
        <f aca="false">C7</f>
        <v>0</v>
      </c>
      <c r="D17" s="8" t="n">
        <f aca="false">D7</f>
        <v>-4.76936990216927E-005</v>
      </c>
      <c r="E17" s="8" t="n">
        <f aca="false">E7</f>
        <v>-11.5300695234764</v>
      </c>
      <c r="F17" s="8" t="n">
        <f aca="false">F7</f>
        <v>-0.99078890365209</v>
      </c>
      <c r="G17" s="8" t="n">
        <f aca="false">G7</f>
        <v>-1.4271543903869</v>
      </c>
      <c r="H17" s="8" t="n">
        <f aca="false">H7</f>
        <v>-1.44763101235371</v>
      </c>
      <c r="I17" s="8" t="n">
        <f aca="false">I7</f>
        <v>-1.11423603105017</v>
      </c>
      <c r="J17" s="8" t="n">
        <f aca="false">J7</f>
        <v>-0.351915970835311</v>
      </c>
      <c r="K17" s="8" t="n">
        <f aca="false">K7</f>
        <v>-0.000461102682220371</v>
      </c>
      <c r="L17" s="8" t="n">
        <f aca="false">L7</f>
        <v>-6.35280071110174E-005</v>
      </c>
      <c r="M17" s="8" t="n">
        <f aca="false">M7</f>
        <v>9.09494701772928E-015</v>
      </c>
      <c r="N17" s="8" t="n">
        <f aca="false">N7</f>
        <v>0</v>
      </c>
      <c r="O17" s="8" t="n">
        <f aca="false">O7</f>
        <v>0</v>
      </c>
      <c r="P17" s="8" t="n">
        <f aca="false">P7</f>
        <v>-0.000597907183120697</v>
      </c>
      <c r="Q17" s="8" t="n">
        <f aca="false">Q7</f>
        <v>-0.226906066899624</v>
      </c>
      <c r="R17" s="8" t="n">
        <f aca="false">R7</f>
        <v>-1.00271788512082</v>
      </c>
      <c r="S17" s="8" t="n">
        <f aca="false">S7</f>
        <v>-1.40093492954072</v>
      </c>
      <c r="T17" s="8" t="n">
        <f aca="false">T7</f>
        <v>-1.36329489784145</v>
      </c>
      <c r="U17" s="8" t="n">
        <f aca="false">U7</f>
        <v>-1.07200181024893</v>
      </c>
      <c r="V17" s="8" t="n">
        <f aca="false">V7</f>
        <v>-0.420681326853386</v>
      </c>
      <c r="W17" s="8" t="n">
        <f aca="false">W7</f>
        <v>-0.0118625328154267</v>
      </c>
      <c r="X17" s="8" t="n">
        <f aca="false">X7</f>
        <v>0</v>
      </c>
      <c r="Y17" s="8" t="n">
        <f aca="false">Y7</f>
        <v>-6.50288711767644E-014</v>
      </c>
    </row>
    <row r="18" customFormat="false" ht="15" hidden="false" customHeight="false" outlineLevel="0" collapsed="false">
      <c r="A18" s="0" t="s">
        <v>40</v>
      </c>
      <c r="B18" s="8" t="n">
        <f aca="false">B8</f>
        <v>1.16415321826935E-013</v>
      </c>
      <c r="C18" s="8" t="n">
        <f aca="false">C8</f>
        <v>0</v>
      </c>
      <c r="D18" s="8" t="n">
        <f aca="false">D8</f>
        <v>-0.00596966344927205</v>
      </c>
      <c r="E18" s="8" t="n">
        <f aca="false">E8</f>
        <v>-11.1312974980298</v>
      </c>
      <c r="F18" s="8" t="n">
        <f aca="false">F8</f>
        <v>0</v>
      </c>
      <c r="G18" s="8" t="n">
        <f aca="false">G8</f>
        <v>0</v>
      </c>
      <c r="H18" s="8" t="n">
        <f aca="false">H8</f>
        <v>0</v>
      </c>
      <c r="I18" s="8" t="n">
        <f aca="false">I8</f>
        <v>0</v>
      </c>
      <c r="J18" s="8" t="n">
        <f aca="false">J8</f>
        <v>0</v>
      </c>
      <c r="K18" s="8" t="n">
        <f aca="false">K8</f>
        <v>-0.00695216650118528</v>
      </c>
      <c r="L18" s="8" t="n">
        <f aca="false">L8</f>
        <v>-0.000957828483609774</v>
      </c>
      <c r="M18" s="8" t="n">
        <f aca="false">M8</f>
        <v>0</v>
      </c>
      <c r="N18" s="8" t="n">
        <f aca="false">N8</f>
        <v>0</v>
      </c>
      <c r="O18" s="8" t="n">
        <f aca="false">O8</f>
        <v>-2.91038304567337E-014</v>
      </c>
      <c r="P18" s="8" t="n">
        <f aca="false">P8</f>
        <v>-0.0090148039679043</v>
      </c>
      <c r="Q18" s="8" t="n">
        <f aca="false">Q8</f>
        <v>0</v>
      </c>
      <c r="R18" s="8" t="n">
        <f aca="false">R8</f>
        <v>0</v>
      </c>
      <c r="S18" s="8" t="n">
        <f aca="false">S8</f>
        <v>0</v>
      </c>
      <c r="T18" s="8" t="n">
        <f aca="false">T8</f>
        <v>0</v>
      </c>
      <c r="U18" s="8" t="n">
        <f aca="false">U8</f>
        <v>0</v>
      </c>
      <c r="V18" s="8" t="n">
        <f aca="false">V8</f>
        <v>0</v>
      </c>
      <c r="W18" s="8" t="n">
        <f aca="false">W8</f>
        <v>-0.17885452945334</v>
      </c>
      <c r="X18" s="8" t="n">
        <f aca="false">X8</f>
        <v>0</v>
      </c>
      <c r="Y18" s="8" t="n">
        <f aca="false">Y8</f>
        <v>0</v>
      </c>
    </row>
    <row r="19" customFormat="false" ht="15" hidden="false" customHeight="false" outlineLevel="0" collapsed="false">
      <c r="A19" s="0" t="s">
        <v>41</v>
      </c>
      <c r="B19" s="8" t="n">
        <f aca="false">SUM(B9:B10)</f>
        <v>0</v>
      </c>
      <c r="C19" s="8" t="n">
        <f aca="false">SUM(C9:C10)</f>
        <v>0</v>
      </c>
      <c r="D19" s="8" t="n">
        <f aca="false">SUM(D9:D10)</f>
        <v>0</v>
      </c>
      <c r="E19" s="8" t="n">
        <f aca="false">SUM(E9:E10)</f>
        <v>0</v>
      </c>
      <c r="F19" s="8" t="n">
        <f aca="false">SUM(F9:F10)</f>
        <v>10.388</v>
      </c>
      <c r="G19" s="8" t="n">
        <f aca="false">SUM(G9:G10)</f>
        <v>-120.87035219249</v>
      </c>
      <c r="H19" s="8" t="n">
        <f aca="false">SUM(H9:H10)</f>
        <v>-306.561236295201</v>
      </c>
      <c r="I19" s="8" t="n">
        <f aca="false">SUM(I9:I10)</f>
        <v>21.0276</v>
      </c>
      <c r="J19" s="8" t="n">
        <f aca="false">SUM(J9:J10)</f>
        <v>71.9398313113767</v>
      </c>
      <c r="K19" s="8" t="n">
        <f aca="false">SUM(K9:K10)</f>
        <v>0</v>
      </c>
      <c r="L19" s="8" t="n">
        <f aca="false">SUM(L9:L10)</f>
        <v>0</v>
      </c>
      <c r="M19" s="8" t="n">
        <f aca="false">SUM(M9:M10)</f>
        <v>0</v>
      </c>
      <c r="N19" s="8" t="n">
        <f aca="false">SUM(N9:N10)</f>
        <v>0</v>
      </c>
      <c r="O19" s="8" t="n">
        <f aca="false">SUM(O9:O10)</f>
        <v>0</v>
      </c>
      <c r="P19" s="8" t="n">
        <f aca="false">SUM(P9:P10)</f>
        <v>0</v>
      </c>
      <c r="Q19" s="8" t="n">
        <f aca="false">SUM(Q9:Q10)</f>
        <v>4.914</v>
      </c>
      <c r="R19" s="8" t="n">
        <f aca="false">SUM(R9:R10)</f>
        <v>-33.088</v>
      </c>
      <c r="S19" s="8" t="n">
        <f aca="false">SUM(S9:S10)</f>
        <v>-88.6114174587338</v>
      </c>
      <c r="T19" s="8" t="n">
        <f aca="false">SUM(T9:T10)</f>
        <v>-122.874977725217</v>
      </c>
      <c r="U19" s="8" t="n">
        <f aca="false">SUM(U9:U10)</f>
        <v>35.3792</v>
      </c>
      <c r="V19" s="8" t="n">
        <f aca="false">SUM(V9:V10)</f>
        <v>-77.680064100181</v>
      </c>
      <c r="W19" s="8" t="n">
        <f aca="false">SUM(W9:W10)</f>
        <v>0.4758</v>
      </c>
      <c r="X19" s="8" t="n">
        <f aca="false">SUM(X9:X10)</f>
        <v>0</v>
      </c>
      <c r="Y19" s="8" t="n">
        <f aca="false">SUM(Y9:Y10)</f>
        <v>0</v>
      </c>
    </row>
    <row r="20" customFormat="false" ht="15" hidden="false" customHeight="false" outlineLevel="0" collapsed="false">
      <c r="A20" s="0" t="s">
        <v>42</v>
      </c>
      <c r="B20" s="8" t="n">
        <f aca="false">SUM(B11:B12)</f>
        <v>0</v>
      </c>
      <c r="C20" s="8" t="n">
        <f aca="false">SUM(C11:C12)</f>
        <v>0</v>
      </c>
      <c r="D20" s="8" t="n">
        <f aca="false">SUM(D11:D12)</f>
        <v>0</v>
      </c>
      <c r="E20" s="8" t="n">
        <f aca="false">SUM(E11:E12)</f>
        <v>0</v>
      </c>
      <c r="F20" s="8" t="n">
        <f aca="false">SUM(F11:F12)</f>
        <v>111.994036333333</v>
      </c>
      <c r="G20" s="8" t="n">
        <f aca="false">SUM(G11:G12)</f>
        <v>-37.2909006</v>
      </c>
      <c r="H20" s="8" t="n">
        <f aca="false">SUM(H11:H12)</f>
        <v>0</v>
      </c>
      <c r="I20" s="8" t="n">
        <f aca="false">SUM(I11:I12)</f>
        <v>37.6340619346484</v>
      </c>
      <c r="J20" s="8" t="n">
        <f aca="false">SUM(J11:J12)</f>
        <v>0</v>
      </c>
      <c r="K20" s="8" t="n">
        <f aca="false">SUM(K11:K12)</f>
        <v>0</v>
      </c>
      <c r="L20" s="8" t="n">
        <f aca="false">SUM(L11:L12)</f>
        <v>0</v>
      </c>
      <c r="M20" s="8" t="n">
        <f aca="false">SUM(M11:M12)</f>
        <v>0</v>
      </c>
      <c r="N20" s="8" t="n">
        <f aca="false">SUM(N11:N12)</f>
        <v>-16.6674401394335</v>
      </c>
      <c r="O20" s="8" t="n">
        <f aca="false">SUM(O11:O12)</f>
        <v>3.37996561818509</v>
      </c>
      <c r="P20" s="8" t="n">
        <f aca="false">SUM(P11:P12)</f>
        <v>0</v>
      </c>
      <c r="Q20" s="8" t="n">
        <f aca="false">SUM(Q11:Q12)</f>
        <v>26.767638</v>
      </c>
      <c r="R20" s="8" t="n">
        <f aca="false">SUM(R11:R12)</f>
        <v>0</v>
      </c>
      <c r="S20" s="8" t="n">
        <f aca="false">SUM(S11:S12)</f>
        <v>9.56035935</v>
      </c>
      <c r="T20" s="8" t="n">
        <f aca="false">SUM(T11:T12)</f>
        <v>0</v>
      </c>
      <c r="U20" s="8" t="n">
        <f aca="false">SUM(U11:U12)</f>
        <v>-233.499248966667</v>
      </c>
      <c r="V20" s="8" t="n">
        <f aca="false">SUM(V11:V12)</f>
        <v>0</v>
      </c>
      <c r="W20" s="8" t="n">
        <f aca="false">SUM(W11:W12)</f>
        <v>0</v>
      </c>
      <c r="X20" s="8" t="n">
        <f aca="false">SUM(X11:X12)</f>
        <v>-53.830045527586</v>
      </c>
      <c r="Y20" s="8" t="n">
        <f aca="false">SUM(Y11:Y12)</f>
        <v>-11.0806675120603</v>
      </c>
    </row>
    <row r="21" customFormat="false" ht="15" hidden="false" customHeight="false" outlineLevel="0" collapsed="false">
      <c r="A21" s="0" t="s">
        <v>43</v>
      </c>
      <c r="B21" s="8" t="n">
        <f aca="false">SUM(B13:B15)</f>
        <v>0</v>
      </c>
      <c r="C21" s="8" t="n">
        <f aca="false">SUM(C13:C15)</f>
        <v>0</v>
      </c>
      <c r="D21" s="8" t="n">
        <f aca="false">SUM(D13:D15)</f>
        <v>0</v>
      </c>
      <c r="E21" s="8" t="n">
        <f aca="false">SUM(E13:E15)</f>
        <v>0</v>
      </c>
      <c r="F21" s="8" t="n">
        <f aca="false">SUM(F13:F15)</f>
        <v>-246.395824834028</v>
      </c>
      <c r="G21" s="8" t="n">
        <f aca="false">SUM(G13:G15)</f>
        <v>-20.4709685362891</v>
      </c>
      <c r="H21" s="8" t="n">
        <f aca="false">SUM(H13:H15)</f>
        <v>125.366023539651</v>
      </c>
      <c r="I21" s="8" t="n">
        <f aca="false">SUM(I13:I15)</f>
        <v>-198.126921371011</v>
      </c>
      <c r="J21" s="8" t="n">
        <f aca="false">SUM(J13:J15)</f>
        <v>-115.98799597725</v>
      </c>
      <c r="K21" s="8" t="n">
        <f aca="false">SUM(K13:K15)</f>
        <v>-0.0507625397288791</v>
      </c>
      <c r="L21" s="8" t="n">
        <f aca="false">SUM(L13:L15)</f>
        <v>-0.00699376323137813</v>
      </c>
      <c r="M21" s="8" t="n">
        <f aca="false">SUM(M13:M15)</f>
        <v>0</v>
      </c>
      <c r="N21" s="8" t="n">
        <f aca="false">SUM(N13:N15)</f>
        <v>16.6674401394336</v>
      </c>
      <c r="O21" s="8" t="n">
        <f aca="false">SUM(O13:O15)</f>
        <v>-3.379965618185</v>
      </c>
      <c r="P21" s="8" t="n">
        <f aca="false">SUM(P13:P15)</f>
        <v>-0.0658232717082137</v>
      </c>
      <c r="Q21" s="8" t="n">
        <f aca="false">SUM(Q13:Q15)</f>
        <v>-60.0827241307501</v>
      </c>
      <c r="R21" s="8" t="n">
        <f aca="false">SUM(R13:R15)</f>
        <v>-92.4188998783429</v>
      </c>
      <c r="S21" s="8" t="n">
        <f aca="false">SUM(S13:S15)</f>
        <v>-96.2993595381543</v>
      </c>
      <c r="T21" s="8" t="n">
        <f aca="false">SUM(T13:T15)</f>
        <v>-47.7641609467987</v>
      </c>
      <c r="U21" s="8" t="n">
        <f aca="false">SUM(U13:U15)</f>
        <v>63.9411080454085</v>
      </c>
      <c r="V21" s="8" t="n">
        <f aca="false">SUM(V13:V15)</f>
        <v>25.0247659813935</v>
      </c>
      <c r="W21" s="8" t="n">
        <f aca="false">SUM(W13:W15)</f>
        <v>-1.78173968880252</v>
      </c>
      <c r="X21" s="8" t="n">
        <f aca="false">SUM(X13:X15)</f>
        <v>53.8300455275862</v>
      </c>
      <c r="Y21" s="8" t="n">
        <f aca="false">SUM(Y13:Y15)</f>
        <v>11.0806675120605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21"/>
  <sheetViews>
    <sheetView showFormulas="false" showGridLines="true" showRowColHeaders="true" showZeros="true" rightToLeft="false" tabSelected="false" showOutlineSymbols="true" defaultGridColor="true" view="normal" topLeftCell="L2" colorId="64" zoomScale="100" zoomScaleNormal="100" zoomScalePageLayoutView="100" workbookViewId="0">
      <selection pane="topLeft" activeCell="A17" activeCellId="1" sqref="F30:M54 A17"/>
    </sheetView>
  </sheetViews>
  <sheetFormatPr defaultColWidth="10.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44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0" t="s">
        <v>3</v>
      </c>
    </row>
    <row r="6" customFormat="false" ht="15" hidden="false" customHeight="false" outlineLevel="0" collapsed="false">
      <c r="A6" s="0" t="s">
        <v>4</v>
      </c>
      <c r="B6" s="0" t="s">
        <v>5</v>
      </c>
      <c r="C6" s="0" t="s">
        <v>6</v>
      </c>
      <c r="D6" s="0" t="s">
        <v>7</v>
      </c>
      <c r="E6" s="0" t="s">
        <v>8</v>
      </c>
      <c r="F6" s="0" t="s">
        <v>9</v>
      </c>
      <c r="G6" s="0" t="s">
        <v>10</v>
      </c>
      <c r="H6" s="0" t="s">
        <v>11</v>
      </c>
      <c r="I6" s="0" t="s">
        <v>12</v>
      </c>
      <c r="J6" s="0" t="s">
        <v>13</v>
      </c>
      <c r="K6" s="0" t="s">
        <v>14</v>
      </c>
      <c r="L6" s="0" t="s">
        <v>15</v>
      </c>
      <c r="M6" s="0" t="s">
        <v>16</v>
      </c>
      <c r="N6" s="0" t="s">
        <v>17</v>
      </c>
      <c r="O6" s="0" t="s">
        <v>18</v>
      </c>
      <c r="P6" s="0" t="s">
        <v>19</v>
      </c>
      <c r="Q6" s="0" t="s">
        <v>20</v>
      </c>
      <c r="R6" s="0" t="s">
        <v>21</v>
      </c>
      <c r="S6" s="0" t="s">
        <v>22</v>
      </c>
      <c r="T6" s="0" t="s">
        <v>23</v>
      </c>
      <c r="U6" s="0" t="s">
        <v>24</v>
      </c>
      <c r="V6" s="0" t="s">
        <v>25</v>
      </c>
      <c r="W6" s="0" t="s">
        <v>26</v>
      </c>
      <c r="X6" s="0" t="s">
        <v>27</v>
      </c>
      <c r="Y6" s="0" t="s">
        <v>28</v>
      </c>
      <c r="Z6" s="0" t="s">
        <v>29</v>
      </c>
    </row>
    <row r="7" customFormat="false" ht="15" hidden="false" customHeight="false" outlineLevel="0" collapsed="false">
      <c r="A7" s="0" t="s">
        <v>30</v>
      </c>
      <c r="B7" s="0" t="n">
        <v>0</v>
      </c>
      <c r="C7" s="0" t="n">
        <v>-1.81898940354586E-015</v>
      </c>
      <c r="D7" s="0" t="n">
        <v>-0.000129651031120375</v>
      </c>
      <c r="E7" s="0" t="n">
        <v>-0.488265783172748</v>
      </c>
      <c r="F7" s="0" t="n">
        <v>-2.69337052034801</v>
      </c>
      <c r="G7" s="0" t="n">
        <v>-3.87959084814604</v>
      </c>
      <c r="H7" s="0" t="n">
        <v>-3.93525470324011</v>
      </c>
      <c r="I7" s="0" t="n">
        <v>-3.02895043301159</v>
      </c>
      <c r="J7" s="0" t="n">
        <v>-0.956651914442826</v>
      </c>
      <c r="K7" s="0" t="n">
        <v>-0.00125346616880233</v>
      </c>
      <c r="L7" s="0" t="n">
        <v>-0.000172695173449029</v>
      </c>
      <c r="M7" s="0" t="n">
        <v>-9.09494701772928E-015</v>
      </c>
      <c r="N7" s="0" t="n">
        <v>1.61890056915581E-013</v>
      </c>
      <c r="O7" s="0" t="n">
        <v>-3.63797880709171E-015</v>
      </c>
      <c r="P7" s="0" t="n">
        <v>-0.0016253568999291</v>
      </c>
      <c r="Q7" s="0" t="n">
        <v>-0.61682373432122</v>
      </c>
      <c r="R7" s="0" t="n">
        <v>-2.72579838354591</v>
      </c>
      <c r="S7" s="0" t="n">
        <v>-3.8083156020848</v>
      </c>
      <c r="T7" s="0" t="n">
        <v>-3.70599456135646</v>
      </c>
      <c r="U7" s="0" t="n">
        <v>-2.91414050242331</v>
      </c>
      <c r="V7" s="0" t="n">
        <v>-1.1435843498361</v>
      </c>
      <c r="W7" s="0" t="n">
        <v>-0.0322472285104923</v>
      </c>
      <c r="X7" s="0" t="n">
        <v>0</v>
      </c>
      <c r="Y7" s="0" t="n">
        <v>-3.63797880709171E-015</v>
      </c>
      <c r="Z7" s="0" t="n">
        <v>-29.9321697337128</v>
      </c>
    </row>
    <row r="8" customFormat="false" ht="15" hidden="false" customHeight="false" outlineLevel="0" collapsed="false">
      <c r="A8" s="0" t="s">
        <v>31</v>
      </c>
      <c r="B8" s="0" t="n">
        <v>-8.73114913702011E-014</v>
      </c>
      <c r="C8" s="0" t="n">
        <v>2.61934474110603E-013</v>
      </c>
      <c r="D8" s="0" t="n">
        <v>-0.0162279931599624</v>
      </c>
      <c r="E8" s="0" t="n">
        <v>-61.1146222402309</v>
      </c>
      <c r="F8" s="0" t="n">
        <v>0</v>
      </c>
      <c r="G8" s="0" t="n">
        <v>0</v>
      </c>
      <c r="H8" s="0" t="n">
        <v>0</v>
      </c>
      <c r="I8" s="0" t="n">
        <v>0</v>
      </c>
      <c r="J8" s="0" t="n">
        <v>-114.858719166776</v>
      </c>
      <c r="K8" s="0" t="n">
        <v>-0.156892237869499</v>
      </c>
      <c r="L8" s="0" t="n">
        <v>-0.0216156868890976</v>
      </c>
      <c r="M8" s="0" t="n">
        <v>0</v>
      </c>
      <c r="N8" s="0" t="n">
        <v>1.60071067512035E-013</v>
      </c>
      <c r="O8" s="0" t="n">
        <v>2.91038304567337E-013</v>
      </c>
      <c r="P8" s="0" t="n">
        <v>-0.203440577587287</v>
      </c>
      <c r="Q8" s="0" t="n">
        <v>-77.2057981760448</v>
      </c>
      <c r="R8" s="0" t="n">
        <v>0</v>
      </c>
      <c r="S8" s="0" t="n">
        <v>0</v>
      </c>
      <c r="T8" s="0" t="n">
        <v>0</v>
      </c>
      <c r="U8" s="0" t="n">
        <v>0</v>
      </c>
      <c r="V8" s="0" t="n">
        <v>0</v>
      </c>
      <c r="W8" s="0" t="n">
        <v>-4.03627953592633</v>
      </c>
      <c r="X8" s="0" t="n">
        <v>0</v>
      </c>
      <c r="Y8" s="0" t="n">
        <v>2.03726813197136E-013</v>
      </c>
      <c r="Z8" s="0" t="n">
        <v>-257.613595614483</v>
      </c>
    </row>
    <row r="9" customFormat="false" ht="15" hidden="false" customHeight="false" outlineLevel="0" collapsed="false">
      <c r="A9" s="0" t="s">
        <v>32</v>
      </c>
      <c r="B9" s="0" t="n">
        <v>0</v>
      </c>
      <c r="C9" s="0" t="n">
        <v>0</v>
      </c>
      <c r="D9" s="0" t="n">
        <v>0</v>
      </c>
      <c r="E9" s="0" t="n">
        <v>0</v>
      </c>
      <c r="F9" s="0" t="n">
        <v>-33.2416</v>
      </c>
      <c r="G9" s="0" t="n">
        <v>0</v>
      </c>
      <c r="H9" s="0" t="n">
        <v>-53.1625560124632</v>
      </c>
      <c r="I9" s="0" t="n">
        <v>-37.3824</v>
      </c>
      <c r="J9" s="0" t="n">
        <v>0</v>
      </c>
      <c r="K9" s="0" t="n">
        <v>0</v>
      </c>
      <c r="L9" s="0" t="n">
        <v>0</v>
      </c>
      <c r="M9" s="0" t="n">
        <v>0</v>
      </c>
      <c r="N9" s="0" t="n">
        <v>0</v>
      </c>
      <c r="O9" s="0" t="n">
        <v>0</v>
      </c>
      <c r="P9" s="0" t="n">
        <v>0</v>
      </c>
      <c r="Q9" s="0" t="n">
        <v>0</v>
      </c>
      <c r="R9" s="0" t="n">
        <v>0</v>
      </c>
      <c r="S9" s="0" t="n">
        <v>-63.0363057311301</v>
      </c>
      <c r="T9" s="0" t="n">
        <v>-21.5498103190319</v>
      </c>
      <c r="U9" s="0" t="n">
        <v>-15.4880932236357</v>
      </c>
      <c r="V9" s="0" t="n">
        <v>13.8816</v>
      </c>
      <c r="W9" s="0" t="n">
        <v>0</v>
      </c>
      <c r="X9" s="0" t="n">
        <v>0</v>
      </c>
      <c r="Y9" s="0" t="n">
        <v>0</v>
      </c>
      <c r="Z9" s="0" t="n">
        <v>-209.979165286261</v>
      </c>
    </row>
    <row r="10" customFormat="false" ht="15" hidden="false" customHeight="false" outlineLevel="0" collapsed="false">
      <c r="A10" s="0" t="s">
        <v>33</v>
      </c>
      <c r="B10" s="0" t="n">
        <v>0</v>
      </c>
      <c r="C10" s="0" t="n">
        <v>0</v>
      </c>
      <c r="D10" s="0" t="n">
        <v>0</v>
      </c>
      <c r="E10" s="0" t="n">
        <v>0</v>
      </c>
      <c r="F10" s="0" t="n">
        <v>0</v>
      </c>
      <c r="G10" s="0" t="n">
        <v>-297.88561231812</v>
      </c>
      <c r="H10" s="0" t="n">
        <v>-97.3037699088345</v>
      </c>
      <c r="I10" s="0" t="n">
        <v>-63.8893940545843</v>
      </c>
      <c r="J10" s="0" t="n">
        <v>-4.88225466648987</v>
      </c>
      <c r="K10" s="0" t="n">
        <v>0</v>
      </c>
      <c r="L10" s="0" t="n">
        <v>0</v>
      </c>
      <c r="M10" s="0" t="n">
        <v>0</v>
      </c>
      <c r="N10" s="0" t="n">
        <v>0</v>
      </c>
      <c r="O10" s="0" t="n">
        <v>0</v>
      </c>
      <c r="P10" s="0" t="n">
        <v>0</v>
      </c>
      <c r="Q10" s="0" t="n">
        <v>0</v>
      </c>
      <c r="R10" s="0" t="n">
        <v>0</v>
      </c>
      <c r="S10" s="0" t="n">
        <v>-46.9236287284839</v>
      </c>
      <c r="T10" s="0" t="n">
        <v>-451.09037619383</v>
      </c>
      <c r="U10" s="0" t="n">
        <v>-45.0674624392405</v>
      </c>
      <c r="V10" s="0" t="n">
        <v>0</v>
      </c>
      <c r="W10" s="0" t="n">
        <v>0</v>
      </c>
      <c r="X10" s="0" t="n">
        <v>0</v>
      </c>
      <c r="Y10" s="0" t="n">
        <v>0</v>
      </c>
      <c r="Z10" s="0" t="n">
        <v>-1007.04249830958</v>
      </c>
    </row>
    <row r="11" customFormat="false" ht="15" hidden="false" customHeight="false" outlineLevel="0" collapsed="false">
      <c r="A11" s="0" t="s">
        <v>34</v>
      </c>
      <c r="B11" s="0" t="n">
        <v>0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-37.2909006</v>
      </c>
      <c r="H11" s="0" t="n">
        <v>56.987451</v>
      </c>
      <c r="I11" s="0" t="n">
        <v>0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0</v>
      </c>
      <c r="O11" s="0" t="n">
        <v>0</v>
      </c>
      <c r="P11" s="0" t="n">
        <v>0</v>
      </c>
      <c r="Q11" s="0" t="n">
        <v>0</v>
      </c>
      <c r="R11" s="0" t="n">
        <v>-29.8730592</v>
      </c>
      <c r="S11" s="0" t="n">
        <v>38.2414374</v>
      </c>
      <c r="T11" s="0" t="n">
        <v>-11.5897266</v>
      </c>
      <c r="U11" s="0" t="n">
        <v>-64.6753455</v>
      </c>
      <c r="V11" s="0" t="n">
        <v>0</v>
      </c>
      <c r="W11" s="0" t="n">
        <v>0</v>
      </c>
      <c r="X11" s="0" t="n">
        <v>0</v>
      </c>
      <c r="Y11" s="0" t="n">
        <v>0</v>
      </c>
      <c r="Z11" s="0" t="n">
        <v>-48.2001435</v>
      </c>
    </row>
    <row r="12" customFormat="false" ht="15" hidden="false" customHeight="false" outlineLevel="0" collapsed="false">
      <c r="A12" s="0" t="s">
        <v>35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-184.448333333333</v>
      </c>
      <c r="G12" s="0" t="n">
        <v>-228.697083333333</v>
      </c>
      <c r="H12" s="0" t="n">
        <v>0</v>
      </c>
      <c r="I12" s="0" t="n">
        <v>-352.0075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>
        <v>0</v>
      </c>
      <c r="P12" s="0" t="n">
        <v>0</v>
      </c>
      <c r="Q12" s="0" t="n">
        <v>0</v>
      </c>
      <c r="R12" s="0" t="n">
        <v>181.274065863091</v>
      </c>
      <c r="S12" s="0" t="n">
        <v>-241.16625</v>
      </c>
      <c r="T12" s="0" t="n">
        <v>0</v>
      </c>
      <c r="U12" s="0" t="n">
        <v>-346.715416666667</v>
      </c>
      <c r="V12" s="0" t="n">
        <v>0</v>
      </c>
      <c r="W12" s="0" t="n">
        <v>0</v>
      </c>
      <c r="X12" s="0" t="n">
        <v>0</v>
      </c>
      <c r="Y12" s="0" t="n">
        <v>0</v>
      </c>
      <c r="Z12" s="0" t="n">
        <v>-1171.76051747024</v>
      </c>
    </row>
    <row r="13" customFormat="false" ht="15" hidden="false" customHeight="false" outlineLevel="0" collapsed="false">
      <c r="A13" s="0" t="s">
        <v>36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-134.152654634667</v>
      </c>
      <c r="G13" s="0" t="n">
        <v>-72.8245155030073</v>
      </c>
      <c r="H13" s="0" t="n">
        <v>0</v>
      </c>
      <c r="I13" s="0" t="n">
        <v>-204.46943046037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0" t="n">
        <v>0</v>
      </c>
      <c r="P13" s="0" t="n">
        <v>0</v>
      </c>
      <c r="Q13" s="0" t="n">
        <v>0</v>
      </c>
      <c r="R13" s="0" t="n">
        <v>-192.979142455455</v>
      </c>
      <c r="S13" s="0" t="n">
        <v>0</v>
      </c>
      <c r="T13" s="0" t="n">
        <v>-206.462837394</v>
      </c>
      <c r="U13" s="0" t="n">
        <v>-230.567104693333</v>
      </c>
      <c r="V13" s="0" t="n">
        <v>0</v>
      </c>
      <c r="W13" s="0" t="n">
        <v>0</v>
      </c>
      <c r="X13" s="0" t="n">
        <v>0</v>
      </c>
      <c r="Y13" s="0" t="n">
        <v>0</v>
      </c>
      <c r="Z13" s="0" t="n">
        <v>-1041.45568514083</v>
      </c>
    </row>
    <row r="14" customFormat="false" ht="15" hidden="false" customHeight="false" outlineLevel="0" collapsed="false">
      <c r="A14" s="0" t="s">
        <v>37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148.562159663975</v>
      </c>
      <c r="G14" s="0" t="n">
        <v>76.0657329650862</v>
      </c>
      <c r="H14" s="0" t="n">
        <v>-270.032444417801</v>
      </c>
      <c r="I14" s="0" t="n">
        <v>421.357977419347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  <c r="O14" s="0" t="n">
        <v>0</v>
      </c>
      <c r="P14" s="0" t="n">
        <v>0</v>
      </c>
      <c r="Q14" s="0" t="n">
        <v>0</v>
      </c>
      <c r="R14" s="0" t="n">
        <v>-284.84027511998</v>
      </c>
      <c r="S14" s="0" t="n">
        <v>-185.358458012022</v>
      </c>
      <c r="T14" s="0" t="n">
        <v>275.4315112193</v>
      </c>
      <c r="U14" s="0" t="n">
        <v>255.796287598057</v>
      </c>
      <c r="V14" s="0" t="n">
        <v>0</v>
      </c>
      <c r="W14" s="0" t="n">
        <v>0</v>
      </c>
      <c r="X14" s="0" t="n">
        <v>0</v>
      </c>
      <c r="Y14" s="0" t="n">
        <v>0</v>
      </c>
      <c r="Z14" s="0" t="n">
        <v>436.982491315962</v>
      </c>
    </row>
    <row r="15" customFormat="false" ht="15" hidden="false" customHeight="false" outlineLevel="0" collapsed="false">
      <c r="A15" s="0" t="s">
        <v>38</v>
      </c>
      <c r="B15" s="0" t="n">
        <v>0</v>
      </c>
      <c r="C15" s="0" t="n">
        <v>0</v>
      </c>
      <c r="D15" s="0" t="n">
        <v>0</v>
      </c>
      <c r="E15" s="0" t="n">
        <v>0</v>
      </c>
      <c r="F15" s="0" t="n">
        <v>-133.8399016</v>
      </c>
      <c r="G15" s="0" t="n">
        <v>75.0367517715799</v>
      </c>
      <c r="H15" s="0" t="n">
        <v>-129.05156935</v>
      </c>
      <c r="I15" s="0" t="n">
        <v>-142.7330168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  <c r="O15" s="0" t="n">
        <v>0</v>
      </c>
      <c r="P15" s="0" t="n">
        <v>0</v>
      </c>
      <c r="Q15" s="0" t="n">
        <v>0</v>
      </c>
      <c r="R15" s="0" t="n">
        <v>-14.7608079773481</v>
      </c>
      <c r="S15" s="0" t="n">
        <v>21.5688661887739</v>
      </c>
      <c r="T15" s="0" t="n">
        <v>-48.6059114472663</v>
      </c>
      <c r="U15" s="0" t="n">
        <v>81.9637524467584</v>
      </c>
      <c r="V15" s="0" t="n">
        <v>-157.020291976184</v>
      </c>
      <c r="W15" s="0" t="n">
        <v>0</v>
      </c>
      <c r="X15" s="0" t="n">
        <v>0</v>
      </c>
      <c r="Y15" s="0" t="n">
        <v>0</v>
      </c>
      <c r="Z15" s="0" t="n">
        <v>-447.442128743686</v>
      </c>
    </row>
    <row r="16" customFormat="false" ht="15" hidden="false" customHeight="false" outlineLevel="0" collapsed="false">
      <c r="A16" s="0" t="s">
        <v>29</v>
      </c>
      <c r="B16" s="0" t="n">
        <v>-8.73114913702011E-014</v>
      </c>
      <c r="C16" s="0" t="n">
        <v>2.60115484707057E-013</v>
      </c>
      <c r="D16" s="0" t="n">
        <v>-0.0163576441910827</v>
      </c>
      <c r="E16" s="0" t="n">
        <v>-61.6028880234036</v>
      </c>
      <c r="F16" s="0" t="n">
        <v>-339.813700424373</v>
      </c>
      <c r="G16" s="0" t="n">
        <v>-489.47521786594</v>
      </c>
      <c r="H16" s="0" t="n">
        <v>-496.498143392339</v>
      </c>
      <c r="I16" s="0" t="n">
        <v>-382.152714328619</v>
      </c>
      <c r="J16" s="0" t="n">
        <v>-120.697625747709</v>
      </c>
      <c r="K16" s="0" t="n">
        <v>-0.158145704038301</v>
      </c>
      <c r="L16" s="0" t="n">
        <v>-0.0217883820625466</v>
      </c>
      <c r="M16" s="0" t="n">
        <v>-9.09494701772928E-015</v>
      </c>
      <c r="N16" s="0" t="n">
        <v>3.21961124427617E-013</v>
      </c>
      <c r="O16" s="0" t="n">
        <v>2.87400325760245E-013</v>
      </c>
      <c r="P16" s="0" t="n">
        <v>-0.205065934487216</v>
      </c>
      <c r="Q16" s="0" t="n">
        <v>-77.8226219103661</v>
      </c>
      <c r="R16" s="0" t="n">
        <v>-343.905017273238</v>
      </c>
      <c r="S16" s="0" t="n">
        <v>-480.482654484947</v>
      </c>
      <c r="T16" s="0" t="n">
        <v>-467.573145296185</v>
      </c>
      <c r="U16" s="0" t="n">
        <v>-367.667522980485</v>
      </c>
      <c r="V16" s="0" t="n">
        <v>-144.28227632602</v>
      </c>
      <c r="W16" s="0" t="n">
        <v>-4.06852676443682</v>
      </c>
      <c r="X16" s="0" t="n">
        <v>0</v>
      </c>
      <c r="Y16" s="0" t="n">
        <v>2.00088834390044E-013</v>
      </c>
      <c r="Z16" s="0" t="n">
        <v>-3776.44341248284</v>
      </c>
    </row>
    <row r="17" customFormat="false" ht="15" hidden="false" customHeight="false" outlineLevel="0" collapsed="false">
      <c r="A17" s="0" t="s">
        <v>39</v>
      </c>
      <c r="B17" s="0" t="n">
        <f aca="false">B7</f>
        <v>0</v>
      </c>
      <c r="C17" s="0" t="n">
        <f aca="false">C7</f>
        <v>-1.81898940354586E-015</v>
      </c>
      <c r="D17" s="0" t="n">
        <f aca="false">D7</f>
        <v>-0.000129651031120375</v>
      </c>
      <c r="E17" s="0" t="n">
        <f aca="false">E7</f>
        <v>-0.488265783172748</v>
      </c>
      <c r="F17" s="0" t="n">
        <f aca="false">F7</f>
        <v>-2.69337052034801</v>
      </c>
      <c r="G17" s="0" t="n">
        <f aca="false">G7</f>
        <v>-3.87959084814604</v>
      </c>
      <c r="H17" s="0" t="n">
        <f aca="false">H7</f>
        <v>-3.93525470324011</v>
      </c>
      <c r="I17" s="0" t="n">
        <f aca="false">I7</f>
        <v>-3.02895043301159</v>
      </c>
      <c r="J17" s="0" t="n">
        <f aca="false">J7</f>
        <v>-0.956651914442826</v>
      </c>
      <c r="K17" s="0" t="n">
        <f aca="false">K7</f>
        <v>-0.00125346616880233</v>
      </c>
      <c r="L17" s="0" t="n">
        <f aca="false">L7</f>
        <v>-0.000172695173449029</v>
      </c>
      <c r="M17" s="0" t="n">
        <f aca="false">M7</f>
        <v>-9.09494701772928E-015</v>
      </c>
      <c r="N17" s="0" t="n">
        <f aca="false">N7</f>
        <v>1.61890056915581E-013</v>
      </c>
      <c r="O17" s="0" t="n">
        <f aca="false">O7</f>
        <v>-3.63797880709171E-015</v>
      </c>
      <c r="P17" s="0" t="n">
        <f aca="false">P7</f>
        <v>-0.0016253568999291</v>
      </c>
      <c r="Q17" s="0" t="n">
        <f aca="false">Q7</f>
        <v>-0.61682373432122</v>
      </c>
      <c r="R17" s="0" t="n">
        <f aca="false">R7</f>
        <v>-2.72579838354591</v>
      </c>
      <c r="S17" s="0" t="n">
        <f aca="false">S7</f>
        <v>-3.8083156020848</v>
      </c>
      <c r="T17" s="0" t="n">
        <f aca="false">T7</f>
        <v>-3.70599456135646</v>
      </c>
      <c r="U17" s="0" t="n">
        <f aca="false">U7</f>
        <v>-2.91414050242331</v>
      </c>
      <c r="V17" s="0" t="n">
        <f aca="false">V7</f>
        <v>-1.1435843498361</v>
      </c>
      <c r="W17" s="0" t="n">
        <f aca="false">W7</f>
        <v>-0.0322472285104923</v>
      </c>
      <c r="X17" s="0" t="n">
        <f aca="false">X7</f>
        <v>0</v>
      </c>
      <c r="Y17" s="0" t="n">
        <f aca="false">Y7</f>
        <v>-3.63797880709171E-015</v>
      </c>
    </row>
    <row r="18" customFormat="false" ht="15" hidden="false" customHeight="false" outlineLevel="0" collapsed="false">
      <c r="A18" s="0" t="s">
        <v>40</v>
      </c>
      <c r="B18" s="0" t="n">
        <f aca="false">B8</f>
        <v>-8.73114913702011E-014</v>
      </c>
      <c r="C18" s="0" t="n">
        <f aca="false">C8</f>
        <v>2.61934474110603E-013</v>
      </c>
      <c r="D18" s="0" t="n">
        <f aca="false">D8</f>
        <v>-0.0162279931599624</v>
      </c>
      <c r="E18" s="0" t="n">
        <f aca="false">E8</f>
        <v>-61.1146222402309</v>
      </c>
      <c r="F18" s="0" t="n">
        <f aca="false">F8</f>
        <v>0</v>
      </c>
      <c r="G18" s="0" t="n">
        <f aca="false">G8</f>
        <v>0</v>
      </c>
      <c r="H18" s="0" t="n">
        <f aca="false">H8</f>
        <v>0</v>
      </c>
      <c r="I18" s="0" t="n">
        <f aca="false">I8</f>
        <v>0</v>
      </c>
      <c r="J18" s="0" t="n">
        <f aca="false">J8</f>
        <v>-114.858719166776</v>
      </c>
      <c r="K18" s="0" t="n">
        <f aca="false">K8</f>
        <v>-0.156892237869499</v>
      </c>
      <c r="L18" s="0" t="n">
        <f aca="false">L8</f>
        <v>-0.0216156868890976</v>
      </c>
      <c r="M18" s="0" t="n">
        <f aca="false">M8</f>
        <v>0</v>
      </c>
      <c r="N18" s="0" t="n">
        <f aca="false">N8</f>
        <v>1.60071067512035E-013</v>
      </c>
      <c r="O18" s="0" t="n">
        <f aca="false">O8</f>
        <v>2.91038304567337E-013</v>
      </c>
      <c r="P18" s="0" t="n">
        <f aca="false">P8</f>
        <v>-0.203440577587287</v>
      </c>
      <c r="Q18" s="0" t="n">
        <f aca="false">Q8</f>
        <v>-77.2057981760448</v>
      </c>
      <c r="R18" s="0" t="n">
        <f aca="false">R8</f>
        <v>0</v>
      </c>
      <c r="S18" s="0" t="n">
        <f aca="false">S8</f>
        <v>0</v>
      </c>
      <c r="T18" s="0" t="n">
        <f aca="false">T8</f>
        <v>0</v>
      </c>
      <c r="U18" s="0" t="n">
        <f aca="false">U8</f>
        <v>0</v>
      </c>
      <c r="V18" s="0" t="n">
        <f aca="false">V8</f>
        <v>0</v>
      </c>
      <c r="W18" s="0" t="n">
        <f aca="false">W8</f>
        <v>-4.03627953592633</v>
      </c>
      <c r="X18" s="0" t="n">
        <f aca="false">X8</f>
        <v>0</v>
      </c>
      <c r="Y18" s="0" t="n">
        <f aca="false">Y8</f>
        <v>2.03726813197136E-013</v>
      </c>
    </row>
    <row r="19" customFormat="false" ht="15" hidden="false" customHeight="false" outlineLevel="0" collapsed="false">
      <c r="A19" s="0" t="s">
        <v>41</v>
      </c>
      <c r="B19" s="0" t="n">
        <f aca="false">SUM(B9:B10)</f>
        <v>0</v>
      </c>
      <c r="C19" s="0" t="n">
        <f aca="false">SUM(C9:C10)</f>
        <v>0</v>
      </c>
      <c r="D19" s="0" t="n">
        <f aca="false">SUM(D9:D10)</f>
        <v>0</v>
      </c>
      <c r="E19" s="0" t="n">
        <f aca="false">SUM(E9:E10)</f>
        <v>0</v>
      </c>
      <c r="F19" s="0" t="n">
        <f aca="false">SUM(F9:F10)</f>
        <v>-33.2416</v>
      </c>
      <c r="G19" s="0" t="n">
        <f aca="false">SUM(G9:G10)</f>
        <v>-297.88561231812</v>
      </c>
      <c r="H19" s="0" t="n">
        <f aca="false">SUM(H9:H10)</f>
        <v>-150.466325921298</v>
      </c>
      <c r="I19" s="0" t="n">
        <f aca="false">SUM(I9:I10)</f>
        <v>-101.271794054584</v>
      </c>
      <c r="J19" s="0" t="n">
        <f aca="false">SUM(J9:J10)</f>
        <v>-4.88225466648987</v>
      </c>
      <c r="K19" s="0" t="n">
        <f aca="false">SUM(K9:K10)</f>
        <v>0</v>
      </c>
      <c r="L19" s="0" t="n">
        <f aca="false">SUM(L9:L10)</f>
        <v>0</v>
      </c>
      <c r="M19" s="0" t="n">
        <f aca="false">SUM(M9:M10)</f>
        <v>0</v>
      </c>
      <c r="N19" s="0" t="n">
        <f aca="false">SUM(N9:N10)</f>
        <v>0</v>
      </c>
      <c r="O19" s="0" t="n">
        <f aca="false">SUM(O9:O10)</f>
        <v>0</v>
      </c>
      <c r="P19" s="0" t="n">
        <f aca="false">SUM(P9:P10)</f>
        <v>0</v>
      </c>
      <c r="Q19" s="0" t="n">
        <f aca="false">SUM(Q9:Q10)</f>
        <v>0</v>
      </c>
      <c r="R19" s="0" t="n">
        <f aca="false">SUM(R9:R10)</f>
        <v>0</v>
      </c>
      <c r="S19" s="0" t="n">
        <f aca="false">SUM(S9:S10)</f>
        <v>-109.959934459614</v>
      </c>
      <c r="T19" s="0" t="n">
        <f aca="false">SUM(T9:T10)</f>
        <v>-472.640186512862</v>
      </c>
      <c r="U19" s="0" t="n">
        <f aca="false">SUM(U9:U10)</f>
        <v>-60.5555556628763</v>
      </c>
      <c r="V19" s="0" t="n">
        <f aca="false">SUM(V9:V10)</f>
        <v>13.8816</v>
      </c>
      <c r="W19" s="0" t="n">
        <f aca="false">SUM(W9:W10)</f>
        <v>0</v>
      </c>
      <c r="X19" s="0" t="n">
        <f aca="false">SUM(X9:X10)</f>
        <v>0</v>
      </c>
      <c r="Y19" s="0" t="n">
        <f aca="false">SUM(Y9:Y10)</f>
        <v>0</v>
      </c>
    </row>
    <row r="20" customFormat="false" ht="15" hidden="false" customHeight="false" outlineLevel="0" collapsed="false">
      <c r="A20" s="0" t="s">
        <v>42</v>
      </c>
      <c r="B20" s="0" t="n">
        <f aca="false">SUM(B11:B12)</f>
        <v>0</v>
      </c>
      <c r="C20" s="0" t="n">
        <f aca="false">SUM(C11:C12)</f>
        <v>0</v>
      </c>
      <c r="D20" s="0" t="n">
        <f aca="false">SUM(D11:D12)</f>
        <v>0</v>
      </c>
      <c r="E20" s="0" t="n">
        <f aca="false">SUM(E11:E12)</f>
        <v>0</v>
      </c>
      <c r="F20" s="0" t="n">
        <f aca="false">SUM(F11:F12)</f>
        <v>-184.448333333333</v>
      </c>
      <c r="G20" s="0" t="n">
        <f aca="false">SUM(G11:G12)</f>
        <v>-265.987983933333</v>
      </c>
      <c r="H20" s="0" t="n">
        <f aca="false">SUM(H11:H12)</f>
        <v>56.987451</v>
      </c>
      <c r="I20" s="0" t="n">
        <f aca="false">SUM(I11:I12)</f>
        <v>-352.0075</v>
      </c>
      <c r="J20" s="0" t="n">
        <f aca="false">SUM(J11:J12)</f>
        <v>0</v>
      </c>
      <c r="K20" s="0" t="n">
        <f aca="false">SUM(K11:K12)</f>
        <v>0</v>
      </c>
      <c r="L20" s="0" t="n">
        <f aca="false">SUM(L11:L12)</f>
        <v>0</v>
      </c>
      <c r="M20" s="0" t="n">
        <f aca="false">SUM(M11:M12)</f>
        <v>0</v>
      </c>
      <c r="N20" s="0" t="n">
        <f aca="false">SUM(N11:N12)</f>
        <v>0</v>
      </c>
      <c r="O20" s="0" t="n">
        <f aca="false">SUM(O11:O12)</f>
        <v>0</v>
      </c>
      <c r="P20" s="0" t="n">
        <f aca="false">SUM(P11:P12)</f>
        <v>0</v>
      </c>
      <c r="Q20" s="0" t="n">
        <f aca="false">SUM(Q11:Q12)</f>
        <v>0</v>
      </c>
      <c r="R20" s="0" t="n">
        <f aca="false">SUM(R11:R12)</f>
        <v>151.401006663091</v>
      </c>
      <c r="S20" s="0" t="n">
        <f aca="false">SUM(S11:S12)</f>
        <v>-202.9248126</v>
      </c>
      <c r="T20" s="0" t="n">
        <f aca="false">SUM(T11:T12)</f>
        <v>-11.5897266</v>
      </c>
      <c r="U20" s="0" t="n">
        <f aca="false">SUM(U11:U12)</f>
        <v>-411.390762166667</v>
      </c>
      <c r="V20" s="0" t="n">
        <f aca="false">SUM(V11:V12)</f>
        <v>0</v>
      </c>
      <c r="W20" s="0" t="n">
        <f aca="false">SUM(W11:W12)</f>
        <v>0</v>
      </c>
      <c r="X20" s="0" t="n">
        <f aca="false">SUM(X11:X12)</f>
        <v>0</v>
      </c>
      <c r="Y20" s="0" t="n">
        <f aca="false">SUM(Y11:Y12)</f>
        <v>0</v>
      </c>
    </row>
    <row r="21" customFormat="false" ht="15" hidden="false" customHeight="false" outlineLevel="0" collapsed="false">
      <c r="A21" s="0" t="s">
        <v>43</v>
      </c>
      <c r="B21" s="0" t="n">
        <f aca="false">SUM(B13:B15)</f>
        <v>0</v>
      </c>
      <c r="C21" s="0" t="n">
        <f aca="false">SUM(C13:C15)</f>
        <v>0</v>
      </c>
      <c r="D21" s="0" t="n">
        <f aca="false">SUM(D13:D15)</f>
        <v>0</v>
      </c>
      <c r="E21" s="0" t="n">
        <f aca="false">SUM(E13:E15)</f>
        <v>0</v>
      </c>
      <c r="F21" s="0" t="n">
        <f aca="false">SUM(F13:F15)</f>
        <v>-119.430396570691</v>
      </c>
      <c r="G21" s="0" t="n">
        <f aca="false">SUM(G13:G15)</f>
        <v>78.2779692336588</v>
      </c>
      <c r="H21" s="0" t="n">
        <f aca="false">SUM(H13:H15)</f>
        <v>-399.084013767801</v>
      </c>
      <c r="I21" s="0" t="n">
        <f aca="false">SUM(I13:I15)</f>
        <v>74.1555301589766</v>
      </c>
      <c r="J21" s="0" t="n">
        <f aca="false">SUM(J13:J15)</f>
        <v>0</v>
      </c>
      <c r="K21" s="0" t="n">
        <f aca="false">SUM(K13:K15)</f>
        <v>0</v>
      </c>
      <c r="L21" s="0" t="n">
        <f aca="false">SUM(L13:L15)</f>
        <v>0</v>
      </c>
      <c r="M21" s="0" t="n">
        <f aca="false">SUM(M13:M15)</f>
        <v>0</v>
      </c>
      <c r="N21" s="0" t="n">
        <f aca="false">SUM(N13:N15)</f>
        <v>0</v>
      </c>
      <c r="O21" s="0" t="n">
        <f aca="false">SUM(O13:O15)</f>
        <v>0</v>
      </c>
      <c r="P21" s="0" t="n">
        <f aca="false">SUM(P13:P15)</f>
        <v>0</v>
      </c>
      <c r="Q21" s="0" t="n">
        <f aca="false">SUM(Q13:Q15)</f>
        <v>0</v>
      </c>
      <c r="R21" s="0" t="n">
        <f aca="false">SUM(R13:R15)</f>
        <v>-492.580225552783</v>
      </c>
      <c r="S21" s="0" t="n">
        <f aca="false">SUM(S13:S15)</f>
        <v>-163.789591823248</v>
      </c>
      <c r="T21" s="0" t="n">
        <f aca="false">SUM(T13:T15)</f>
        <v>20.3627623780334</v>
      </c>
      <c r="U21" s="0" t="n">
        <f aca="false">SUM(U13:U15)</f>
        <v>107.192935351482</v>
      </c>
      <c r="V21" s="0" t="n">
        <f aca="false">SUM(V13:V15)</f>
        <v>-157.020291976184</v>
      </c>
      <c r="W21" s="0" t="n">
        <f aca="false">SUM(W13:W15)</f>
        <v>0</v>
      </c>
      <c r="X21" s="0" t="n">
        <f aca="false">SUM(X13:X15)</f>
        <v>0</v>
      </c>
      <c r="Y21" s="0" t="n">
        <f aca="false">SUM(Y13:Y15)</f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A1:Z23"/>
  <sheetViews>
    <sheetView showFormulas="false" showGridLines="true" showRowColHeaders="true" showZeros="true" rightToLeft="false" tabSelected="false" showOutlineSymbols="true" defaultGridColor="true" view="normal" topLeftCell="L1" colorId="64" zoomScale="100" zoomScaleNormal="100" zoomScalePageLayoutView="100" workbookViewId="0">
      <selection pane="topLeft" activeCell="A19" activeCellId="1" sqref="F30:M54 A19"/>
    </sheetView>
  </sheetViews>
  <sheetFormatPr defaultColWidth="10.6875" defaultRowHeight="15" zeroHeight="false" outlineLevelRow="0" outlineLevelCol="0"/>
  <sheetData>
    <row r="1" customFormat="false" ht="15" hidden="false" customHeight="false" outlineLevel="0" collapsed="false">
      <c r="A1" s="0" t="s">
        <v>0</v>
      </c>
    </row>
    <row r="2" customFormat="false" ht="15" hidden="false" customHeight="false" outlineLevel="0" collapsed="false">
      <c r="A2" s="0" t="s">
        <v>45</v>
      </c>
    </row>
    <row r="3" customFormat="false" ht="15" hidden="false" customHeight="false" outlineLevel="0" collapsed="false">
      <c r="A3" s="0" t="s">
        <v>2</v>
      </c>
    </row>
    <row r="4" customFormat="false" ht="15" hidden="false" customHeight="false" outlineLevel="0" collapsed="false">
      <c r="A4" s="0" t="s">
        <v>3</v>
      </c>
    </row>
    <row r="6" customFormat="false" ht="15" hidden="false" customHeight="false" outlineLevel="0" collapsed="false">
      <c r="A6" s="0" t="s">
        <v>4</v>
      </c>
      <c r="B6" s="0" t="s">
        <v>5</v>
      </c>
      <c r="C6" s="0" t="s">
        <v>6</v>
      </c>
      <c r="D6" s="0" t="s">
        <v>7</v>
      </c>
      <c r="E6" s="0" t="s">
        <v>8</v>
      </c>
      <c r="F6" s="0" t="s">
        <v>9</v>
      </c>
      <c r="G6" s="0" t="s">
        <v>10</v>
      </c>
      <c r="H6" s="0" t="s">
        <v>11</v>
      </c>
      <c r="I6" s="0" t="s">
        <v>12</v>
      </c>
      <c r="J6" s="0" t="s">
        <v>13</v>
      </c>
      <c r="K6" s="0" t="s">
        <v>14</v>
      </c>
      <c r="L6" s="0" t="s">
        <v>15</v>
      </c>
      <c r="M6" s="0" t="s">
        <v>16</v>
      </c>
      <c r="N6" s="0" t="s">
        <v>17</v>
      </c>
      <c r="O6" s="0" t="s">
        <v>18</v>
      </c>
      <c r="P6" s="0" t="s">
        <v>19</v>
      </c>
      <c r="Q6" s="0" t="s">
        <v>20</v>
      </c>
      <c r="R6" s="0" t="s">
        <v>21</v>
      </c>
      <c r="S6" s="0" t="s">
        <v>22</v>
      </c>
      <c r="T6" s="0" t="s">
        <v>23</v>
      </c>
      <c r="U6" s="0" t="s">
        <v>24</v>
      </c>
      <c r="V6" s="0" t="s">
        <v>25</v>
      </c>
      <c r="W6" s="0" t="s">
        <v>26</v>
      </c>
      <c r="X6" s="0" t="s">
        <v>27</v>
      </c>
      <c r="Y6" s="0" t="s">
        <v>28</v>
      </c>
      <c r="Z6" s="0" t="s">
        <v>29</v>
      </c>
    </row>
    <row r="7" customFormat="false" ht="15" hidden="false" customHeight="false" outlineLevel="0" collapsed="false">
      <c r="A7" s="0" t="s">
        <v>46</v>
      </c>
      <c r="B7" s="0" t="n">
        <v>1.16415321826935E-013</v>
      </c>
      <c r="C7" s="0" t="n">
        <v>4.01996658183634E-013</v>
      </c>
      <c r="D7" s="0" t="n">
        <v>-0.012496652927422</v>
      </c>
      <c r="E7" s="0" t="n">
        <v>0</v>
      </c>
      <c r="F7" s="0" t="n">
        <v>0</v>
      </c>
      <c r="G7" s="0" t="n">
        <v>0</v>
      </c>
      <c r="H7" s="0" t="n">
        <v>0</v>
      </c>
      <c r="I7" s="0" t="n">
        <v>0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</v>
      </c>
      <c r="O7" s="0" t="n">
        <v>0</v>
      </c>
      <c r="P7" s="0" t="n">
        <v>0</v>
      </c>
      <c r="Q7" s="0" t="n">
        <v>0</v>
      </c>
      <c r="R7" s="0" t="n">
        <v>0</v>
      </c>
      <c r="S7" s="0" t="n">
        <v>0</v>
      </c>
      <c r="T7" s="0" t="n">
        <v>0</v>
      </c>
      <c r="U7" s="0" t="n">
        <v>0</v>
      </c>
      <c r="V7" s="0" t="n">
        <v>0</v>
      </c>
      <c r="W7" s="0" t="n">
        <v>0</v>
      </c>
      <c r="X7" s="0" t="n">
        <v>0</v>
      </c>
      <c r="Y7" s="0" t="n">
        <v>0</v>
      </c>
      <c r="Z7" s="0" t="n">
        <v>-0.0124966529269036</v>
      </c>
    </row>
    <row r="8" customFormat="false" ht="15" hidden="false" customHeight="false" outlineLevel="0" collapsed="false">
      <c r="A8" s="0" t="s">
        <v>47</v>
      </c>
      <c r="B8" s="0" t="n">
        <v>0</v>
      </c>
      <c r="C8" s="0" t="n">
        <v>0</v>
      </c>
      <c r="D8" s="0" t="n">
        <v>0</v>
      </c>
      <c r="E8" s="0" t="n">
        <v>0</v>
      </c>
      <c r="F8" s="0" t="n">
        <v>-45.797300675</v>
      </c>
      <c r="G8" s="0" t="n">
        <v>0</v>
      </c>
      <c r="H8" s="0" t="n">
        <v>0</v>
      </c>
      <c r="I8" s="0" t="n">
        <v>0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  <c r="O8" s="0" t="n">
        <v>0</v>
      </c>
      <c r="P8" s="0" t="n">
        <v>0</v>
      </c>
      <c r="Q8" s="0" t="n">
        <v>0</v>
      </c>
      <c r="R8" s="0" t="n">
        <v>-16.00309612</v>
      </c>
      <c r="S8" s="0" t="n">
        <v>0</v>
      </c>
      <c r="T8" s="0" t="n">
        <v>0</v>
      </c>
      <c r="U8" s="0" t="n">
        <v>0</v>
      </c>
      <c r="V8" s="0" t="n">
        <v>0</v>
      </c>
      <c r="W8" s="0" t="n">
        <v>0</v>
      </c>
      <c r="X8" s="0" t="n">
        <v>0</v>
      </c>
      <c r="Y8" s="0" t="n">
        <v>0</v>
      </c>
      <c r="Z8" s="0" t="n">
        <v>-61.800396795</v>
      </c>
    </row>
    <row r="9" customFormat="false" ht="15" hidden="false" customHeight="false" outlineLevel="0" collapsed="false">
      <c r="A9" s="0" t="s">
        <v>30</v>
      </c>
      <c r="B9" s="0" t="n">
        <v>0</v>
      </c>
      <c r="C9" s="0" t="n">
        <v>0</v>
      </c>
      <c r="D9" s="0" t="n">
        <v>-0.000163971139298155</v>
      </c>
      <c r="E9" s="0" t="n">
        <v>-0.617515310592598</v>
      </c>
      <c r="F9" s="0" t="n">
        <v>-37.4263364477563</v>
      </c>
      <c r="G9" s="0" t="n">
        <v>-4.90656283960303</v>
      </c>
      <c r="H9" s="0" t="n">
        <v>-4.97696155266427</v>
      </c>
      <c r="I9" s="0" t="n">
        <v>-3.83074819467528</v>
      </c>
      <c r="J9" s="0" t="n">
        <v>-1.20988859845448</v>
      </c>
      <c r="K9" s="0" t="n">
        <v>-0.00158527297472028</v>
      </c>
      <c r="L9" s="0" t="n">
        <v>-0.000218409557543055</v>
      </c>
      <c r="M9" s="0" t="n">
        <v>0</v>
      </c>
      <c r="N9" s="0" t="n">
        <v>0</v>
      </c>
      <c r="O9" s="0" t="n">
        <v>0</v>
      </c>
      <c r="P9" s="0" t="n">
        <v>-0.00205560742831767</v>
      </c>
      <c r="Q9" s="0" t="n">
        <v>-0.780104019179287</v>
      </c>
      <c r="R9" s="0" t="n">
        <v>-3.44734833657719</v>
      </c>
      <c r="S9" s="0" t="n">
        <v>-4.81642022214771</v>
      </c>
      <c r="T9" s="0" t="n">
        <v>-4.68701363372172</v>
      </c>
      <c r="U9" s="0" t="n">
        <v>-3.68554676465567</v>
      </c>
      <c r="V9" s="0" t="n">
        <v>-1.44630418373597</v>
      </c>
      <c r="W9" s="0" t="n">
        <v>-0.0407834380693457</v>
      </c>
      <c r="X9" s="0" t="n">
        <v>0</v>
      </c>
      <c r="Y9" s="0" t="n">
        <v>0</v>
      </c>
      <c r="Z9" s="0" t="n">
        <v>-71.8755568029328</v>
      </c>
    </row>
    <row r="10" customFormat="false" ht="15" hidden="false" customHeight="false" outlineLevel="0" collapsed="false">
      <c r="A10" s="0" t="s">
        <v>31</v>
      </c>
      <c r="B10" s="0" t="n">
        <v>-2.3283064365387E-013</v>
      </c>
      <c r="C10" s="0" t="n">
        <v>-1.74622982740402E-013</v>
      </c>
      <c r="D10" s="0" t="n">
        <v>-0.00802707529999316</v>
      </c>
      <c r="E10" s="0" t="n">
        <v>-77.2923605033221</v>
      </c>
      <c r="F10" s="0" t="n">
        <v>-248.257602532665</v>
      </c>
      <c r="G10" s="0" t="n">
        <v>0</v>
      </c>
      <c r="H10" s="0" t="n">
        <v>0</v>
      </c>
      <c r="I10" s="0" t="n">
        <v>0</v>
      </c>
      <c r="J10" s="0" t="n">
        <v>-151.437776710124</v>
      </c>
      <c r="K10" s="0" t="n">
        <v>-0.198423404499743</v>
      </c>
      <c r="L10" s="0" t="n">
        <v>-0.0273376059981674</v>
      </c>
      <c r="M10" s="0" t="n">
        <v>-5.82076609134674E-014</v>
      </c>
      <c r="N10" s="0" t="n">
        <v>5.23868948221207E-013</v>
      </c>
      <c r="O10" s="0" t="n">
        <v>3.78349795937538E-013</v>
      </c>
      <c r="P10" s="0" t="n">
        <v>-0.257293621189572</v>
      </c>
      <c r="Q10" s="0" t="n">
        <v>-97.643054425055</v>
      </c>
      <c r="R10" s="0" t="n">
        <v>-202.504367472523</v>
      </c>
      <c r="S10" s="0" t="n">
        <v>0</v>
      </c>
      <c r="T10" s="0" t="n">
        <v>0</v>
      </c>
      <c r="U10" s="0" t="n">
        <v>0</v>
      </c>
      <c r="V10" s="0" t="n">
        <v>-181.029137981225</v>
      </c>
      <c r="W10" s="0" t="n">
        <v>-5.10472881198059</v>
      </c>
      <c r="X10" s="0" t="n">
        <v>1.5825207810849E-013</v>
      </c>
      <c r="Y10" s="0" t="n">
        <v>1.45519152283669E-014</v>
      </c>
      <c r="Z10" s="0" t="n">
        <v>-963.760110143882</v>
      </c>
    </row>
    <row r="11" customFormat="false" ht="15" hidden="false" customHeight="false" outlineLevel="0" collapsed="false">
      <c r="A11" s="0" t="s">
        <v>32</v>
      </c>
      <c r="B11" s="0" t="n">
        <v>0</v>
      </c>
      <c r="C11" s="0" t="n">
        <v>0</v>
      </c>
      <c r="D11" s="0" t="n">
        <v>0</v>
      </c>
      <c r="E11" s="0" t="n">
        <v>0</v>
      </c>
      <c r="F11" s="0" t="n">
        <v>0</v>
      </c>
      <c r="G11" s="0" t="n">
        <v>-97.1139522220476</v>
      </c>
      <c r="H11" s="0" t="n">
        <v>-124.4432</v>
      </c>
      <c r="I11" s="0" t="n">
        <v>-37.3824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0</v>
      </c>
      <c r="O11" s="0" t="n">
        <v>0</v>
      </c>
      <c r="P11" s="0" t="n">
        <v>0</v>
      </c>
      <c r="Q11" s="0" t="n">
        <v>0</v>
      </c>
      <c r="R11" s="0" t="n">
        <v>-51.7</v>
      </c>
      <c r="S11" s="0" t="n">
        <v>-2.37403191840369</v>
      </c>
      <c r="T11" s="0" t="n">
        <v>-92.9498359060492</v>
      </c>
      <c r="U11" s="0" t="n">
        <v>-90.6592</v>
      </c>
      <c r="V11" s="0" t="n">
        <v>0</v>
      </c>
      <c r="W11" s="0" t="n">
        <v>0</v>
      </c>
      <c r="X11" s="0" t="n">
        <v>0</v>
      </c>
      <c r="Y11" s="0" t="n">
        <v>0</v>
      </c>
      <c r="Z11" s="0" t="n">
        <v>-496.622620046501</v>
      </c>
    </row>
    <row r="12" customFormat="false" ht="15" hidden="false" customHeight="false" outlineLevel="0" collapsed="false">
      <c r="A12" s="0" t="s">
        <v>33</v>
      </c>
      <c r="B12" s="0" t="n">
        <v>0</v>
      </c>
      <c r="C12" s="0" t="n">
        <v>0</v>
      </c>
      <c r="D12" s="0" t="n">
        <v>0</v>
      </c>
      <c r="E12" s="0" t="n">
        <v>0</v>
      </c>
      <c r="F12" s="0" t="n">
        <v>-64.6082149824624</v>
      </c>
      <c r="G12" s="0" t="n">
        <v>3.21156477064232</v>
      </c>
      <c r="H12" s="0" t="n">
        <v>10.6630447706422</v>
      </c>
      <c r="I12" s="0" t="n">
        <v>0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0</v>
      </c>
      <c r="O12" s="0" t="n">
        <v>0</v>
      </c>
      <c r="P12" s="0" t="n">
        <v>0</v>
      </c>
      <c r="Q12" s="0" t="n">
        <v>0</v>
      </c>
      <c r="R12" s="0" t="n">
        <v>-165.44</v>
      </c>
      <c r="S12" s="0" t="n">
        <v>0</v>
      </c>
      <c r="T12" s="0" t="n">
        <v>0</v>
      </c>
      <c r="U12" s="0" t="n">
        <v>41.3993853457856</v>
      </c>
      <c r="V12" s="0" t="n">
        <v>0</v>
      </c>
      <c r="W12" s="0" t="n">
        <v>0</v>
      </c>
      <c r="X12" s="0" t="n">
        <v>0</v>
      </c>
      <c r="Y12" s="0" t="n">
        <v>0</v>
      </c>
      <c r="Z12" s="0" t="n">
        <v>-174.774220095392</v>
      </c>
    </row>
    <row r="13" customFormat="false" ht="15" hidden="false" customHeight="false" outlineLevel="0" collapsed="false">
      <c r="A13" s="0" t="s">
        <v>34</v>
      </c>
      <c r="B13" s="0" t="n">
        <v>0</v>
      </c>
      <c r="C13" s="0" t="n">
        <v>0</v>
      </c>
      <c r="D13" s="0" t="n">
        <v>0</v>
      </c>
      <c r="E13" s="0" t="n">
        <v>0</v>
      </c>
      <c r="F13" s="0" t="n">
        <v>-33.676812</v>
      </c>
      <c r="G13" s="0" t="n">
        <v>-9.32272515</v>
      </c>
      <c r="H13" s="0" t="n">
        <v>-45.5899608</v>
      </c>
      <c r="I13" s="0" t="n">
        <v>0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0</v>
      </c>
      <c r="O13" s="0" t="n">
        <v>0</v>
      </c>
      <c r="P13" s="0" t="n">
        <v>0</v>
      </c>
      <c r="Q13" s="0" t="n">
        <v>0</v>
      </c>
      <c r="R13" s="0" t="n">
        <v>-7.4682648</v>
      </c>
      <c r="S13" s="0" t="n">
        <v>-47.80179675</v>
      </c>
      <c r="T13" s="0" t="n">
        <v>0</v>
      </c>
      <c r="U13" s="0" t="n">
        <v>0</v>
      </c>
      <c r="V13" s="0" t="n">
        <v>0</v>
      </c>
      <c r="W13" s="0" t="n">
        <v>0</v>
      </c>
      <c r="X13" s="0" t="n">
        <v>0</v>
      </c>
      <c r="Y13" s="0" t="n">
        <v>0</v>
      </c>
      <c r="Z13" s="0" t="n">
        <v>-143.8595595</v>
      </c>
    </row>
    <row r="14" customFormat="false" ht="15" hidden="false" customHeight="false" outlineLevel="0" collapsed="false">
      <c r="A14" s="0" t="s">
        <v>35</v>
      </c>
      <c r="B14" s="0" t="n">
        <v>0</v>
      </c>
      <c r="C14" s="0" t="n">
        <v>0</v>
      </c>
      <c r="D14" s="0" t="n">
        <v>0</v>
      </c>
      <c r="E14" s="0" t="n">
        <v>0</v>
      </c>
      <c r="F14" s="0" t="n">
        <v>0</v>
      </c>
      <c r="G14" s="0" t="n">
        <v>-17.943925</v>
      </c>
      <c r="H14" s="0" t="n">
        <v>145.963165847441</v>
      </c>
      <c r="I14" s="0" t="n">
        <v>-27.61905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  <c r="O14" s="0" t="n">
        <v>0</v>
      </c>
      <c r="P14" s="0" t="n">
        <v>0</v>
      </c>
      <c r="Q14" s="0" t="n">
        <v>0</v>
      </c>
      <c r="R14" s="0" t="n">
        <v>-15.053075</v>
      </c>
      <c r="S14" s="0" t="n">
        <v>-150.624779706205</v>
      </c>
      <c r="T14" s="0" t="n">
        <v>-351.730045590787</v>
      </c>
      <c r="U14" s="0" t="n">
        <v>-27.203825</v>
      </c>
      <c r="V14" s="0" t="n">
        <v>0</v>
      </c>
      <c r="W14" s="0" t="n">
        <v>0</v>
      </c>
      <c r="X14" s="0" t="n">
        <v>0</v>
      </c>
      <c r="Y14" s="0" t="n">
        <v>0</v>
      </c>
      <c r="Z14" s="0" t="n">
        <v>-444.21153444955</v>
      </c>
    </row>
    <row r="15" customFormat="false" ht="15" hidden="false" customHeight="false" outlineLevel="0" collapsed="false">
      <c r="A15" s="0" t="s">
        <v>36</v>
      </c>
      <c r="B15" s="0" t="n">
        <v>0</v>
      </c>
      <c r="C15" s="0" t="n">
        <v>0</v>
      </c>
      <c r="D15" s="0" t="n">
        <v>0</v>
      </c>
      <c r="E15" s="0" t="n">
        <v>0</v>
      </c>
      <c r="F15" s="0" t="n">
        <v>0</v>
      </c>
      <c r="G15" s="0" t="n">
        <v>-55.0746293904235</v>
      </c>
      <c r="H15" s="0" t="n">
        <v>-151.612984612066</v>
      </c>
      <c r="I15" s="0" t="n">
        <v>-271.747685919678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  <c r="O15" s="0" t="n">
        <v>0</v>
      </c>
      <c r="P15" s="0" t="n">
        <v>0</v>
      </c>
      <c r="Q15" s="0" t="n">
        <v>0</v>
      </c>
      <c r="R15" s="0" t="n">
        <v>-30.5857889238996</v>
      </c>
      <c r="S15" s="0" t="n">
        <v>-293.205560027242</v>
      </c>
      <c r="T15" s="0" t="n">
        <v>-317.490370714092</v>
      </c>
      <c r="U15" s="0" t="n">
        <v>-237.314743894667</v>
      </c>
      <c r="V15" s="0" t="n">
        <v>0</v>
      </c>
      <c r="W15" s="0" t="n">
        <v>0</v>
      </c>
      <c r="X15" s="0" t="n">
        <v>0</v>
      </c>
      <c r="Y15" s="0" t="n">
        <v>0</v>
      </c>
      <c r="Z15" s="0" t="n">
        <v>-1357.03176348207</v>
      </c>
    </row>
    <row r="16" customFormat="false" ht="15" hidden="false" customHeight="false" outlineLevel="0" collapsed="false">
      <c r="A16" s="0" t="s">
        <v>37</v>
      </c>
      <c r="B16" s="0" t="n">
        <v>0</v>
      </c>
      <c r="C16" s="0" t="n">
        <v>0</v>
      </c>
      <c r="D16" s="0" t="n">
        <v>0</v>
      </c>
      <c r="E16" s="0" t="n">
        <v>0</v>
      </c>
      <c r="F16" s="0" t="n">
        <v>0</v>
      </c>
      <c r="G16" s="0" t="n">
        <v>-240.196839174389</v>
      </c>
      <c r="H16" s="0" t="n">
        <v>-367.017356622594</v>
      </c>
      <c r="I16" s="0" t="n">
        <v>0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  <c r="O16" s="0" t="n">
        <v>0</v>
      </c>
      <c r="P16" s="0" t="n">
        <v>0</v>
      </c>
      <c r="Q16" s="0" t="n">
        <v>0</v>
      </c>
      <c r="R16" s="0" t="n">
        <v>0</v>
      </c>
      <c r="S16" s="0" t="n">
        <v>30.5644520775134</v>
      </c>
      <c r="T16" s="0" t="n">
        <v>122.281061283413</v>
      </c>
      <c r="U16" s="0" t="n">
        <v>0</v>
      </c>
      <c r="V16" s="0" t="n">
        <v>0</v>
      </c>
      <c r="W16" s="0" t="n">
        <v>0</v>
      </c>
      <c r="X16" s="0" t="n">
        <v>0</v>
      </c>
      <c r="Y16" s="0" t="n">
        <v>0</v>
      </c>
      <c r="Z16" s="0" t="n">
        <v>-454.368682436056</v>
      </c>
    </row>
    <row r="17" customFormat="false" ht="15" hidden="false" customHeight="false" outlineLevel="0" collapsed="false">
      <c r="A17" s="0" t="s">
        <v>38</v>
      </c>
      <c r="B17" s="0" t="n">
        <v>0</v>
      </c>
      <c r="C17" s="0" t="n">
        <v>0</v>
      </c>
      <c r="D17" s="0" t="n">
        <v>0</v>
      </c>
      <c r="E17" s="0" t="n">
        <v>0</v>
      </c>
      <c r="F17" s="0" t="n">
        <v>0</v>
      </c>
      <c r="G17" s="0" t="n">
        <v>-197.697827451575</v>
      </c>
      <c r="H17" s="0" t="n">
        <v>-90.9126175833334</v>
      </c>
      <c r="I17" s="0" t="n">
        <v>-142.7330168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  <c r="O17" s="0" t="n">
        <v>0</v>
      </c>
      <c r="P17" s="0" t="n">
        <v>0</v>
      </c>
      <c r="Q17" s="0" t="n">
        <v>0</v>
      </c>
      <c r="R17" s="0" t="n">
        <v>57.2613388850917</v>
      </c>
      <c r="S17" s="0" t="n">
        <v>-139.413762333333</v>
      </c>
      <c r="T17" s="0" t="n">
        <v>53.2311093425226</v>
      </c>
      <c r="U17" s="0" t="n">
        <v>-147.529383722921</v>
      </c>
      <c r="V17" s="0" t="n">
        <v>0</v>
      </c>
      <c r="W17" s="0" t="n">
        <v>0</v>
      </c>
      <c r="X17" s="0" t="n">
        <v>0</v>
      </c>
      <c r="Y17" s="0" t="n">
        <v>0</v>
      </c>
      <c r="Z17" s="0" t="n">
        <v>-607.794159663548</v>
      </c>
    </row>
    <row r="18" customFormat="false" ht="15" hidden="false" customHeight="false" outlineLevel="0" collapsed="false">
      <c r="A18" s="0" t="s">
        <v>29</v>
      </c>
      <c r="B18" s="0" t="n">
        <v>-1.16415321826935E-013</v>
      </c>
      <c r="C18" s="0" t="n">
        <v>2.27373675443232E-013</v>
      </c>
      <c r="D18" s="0" t="n">
        <v>-0.0206876993667133</v>
      </c>
      <c r="E18" s="0" t="n">
        <v>-77.9098758139147</v>
      </c>
      <c r="F18" s="0" t="n">
        <v>-429.766266637884</v>
      </c>
      <c r="G18" s="0" t="n">
        <v>-619.044896457395</v>
      </c>
      <c r="H18" s="0" t="n">
        <v>-627.926870552574</v>
      </c>
      <c r="I18" s="0" t="n">
        <v>-483.312900914353</v>
      </c>
      <c r="J18" s="0" t="n">
        <v>-152.647665308579</v>
      </c>
      <c r="K18" s="0" t="n">
        <v>-0.200008677474463</v>
      </c>
      <c r="L18" s="0" t="n">
        <v>-0.0275560155557105</v>
      </c>
      <c r="M18" s="0" t="n">
        <v>-5.82076609134674E-014</v>
      </c>
      <c r="N18" s="0" t="n">
        <v>5.23868948221207E-013</v>
      </c>
      <c r="O18" s="0" t="n">
        <v>3.78349795937538E-013</v>
      </c>
      <c r="P18" s="0" t="n">
        <v>-0.25934922861789</v>
      </c>
      <c r="Q18" s="0" t="n">
        <v>-98.4231584442343</v>
      </c>
      <c r="R18" s="0" t="n">
        <v>-434.940601767908</v>
      </c>
      <c r="S18" s="0" t="n">
        <v>-607.671898879818</v>
      </c>
      <c r="T18" s="0" t="n">
        <v>-591.345095218714</v>
      </c>
      <c r="U18" s="0" t="n">
        <v>-464.993314036457</v>
      </c>
      <c r="V18" s="0" t="n">
        <v>-182.475442164961</v>
      </c>
      <c r="W18" s="0" t="n">
        <v>-5.14551225004994</v>
      </c>
      <c r="X18" s="0" t="n">
        <v>1.5825207810849E-013</v>
      </c>
      <c r="Y18" s="0" t="n">
        <v>1.45519152283669E-014</v>
      </c>
      <c r="Z18" s="0" t="n">
        <v>-4776.11110006785</v>
      </c>
    </row>
    <row r="19" customFormat="false" ht="15" hidden="false" customHeight="false" outlineLevel="0" collapsed="false">
      <c r="A19" s="0" t="s">
        <v>39</v>
      </c>
      <c r="B19" s="0" t="n">
        <f aca="false">B9</f>
        <v>0</v>
      </c>
      <c r="C19" s="0" t="n">
        <f aca="false">C9</f>
        <v>0</v>
      </c>
      <c r="D19" s="0" t="n">
        <f aca="false">D9</f>
        <v>-0.000163971139298155</v>
      </c>
      <c r="E19" s="0" t="n">
        <f aca="false">E9</f>
        <v>-0.617515310592598</v>
      </c>
      <c r="F19" s="0" t="n">
        <f aca="false">F9</f>
        <v>-37.4263364477563</v>
      </c>
      <c r="G19" s="0" t="n">
        <f aca="false">G9</f>
        <v>-4.90656283960303</v>
      </c>
      <c r="H19" s="0" t="n">
        <f aca="false">H9</f>
        <v>-4.97696155266427</v>
      </c>
      <c r="I19" s="0" t="n">
        <f aca="false">I9</f>
        <v>-3.83074819467528</v>
      </c>
      <c r="J19" s="0" t="n">
        <f aca="false">J9</f>
        <v>-1.20988859845448</v>
      </c>
      <c r="K19" s="0" t="n">
        <f aca="false">K9</f>
        <v>-0.00158527297472028</v>
      </c>
      <c r="L19" s="0" t="n">
        <f aca="false">L9</f>
        <v>-0.000218409557543055</v>
      </c>
      <c r="M19" s="0" t="n">
        <f aca="false">M9</f>
        <v>0</v>
      </c>
      <c r="N19" s="0" t="n">
        <f aca="false">N9</f>
        <v>0</v>
      </c>
      <c r="O19" s="0" t="n">
        <f aca="false">O9</f>
        <v>0</v>
      </c>
      <c r="P19" s="0" t="n">
        <f aca="false">P9</f>
        <v>-0.00205560742831767</v>
      </c>
      <c r="Q19" s="0" t="n">
        <f aca="false">Q9</f>
        <v>-0.780104019179287</v>
      </c>
      <c r="R19" s="0" t="n">
        <f aca="false">R9</f>
        <v>-3.44734833657719</v>
      </c>
      <c r="S19" s="0" t="n">
        <f aca="false">S9</f>
        <v>-4.81642022214771</v>
      </c>
      <c r="T19" s="0" t="n">
        <f aca="false">T9</f>
        <v>-4.68701363372172</v>
      </c>
      <c r="U19" s="0" t="n">
        <f aca="false">U9</f>
        <v>-3.68554676465567</v>
      </c>
      <c r="V19" s="0" t="n">
        <f aca="false">V9</f>
        <v>-1.44630418373597</v>
      </c>
      <c r="W19" s="0" t="n">
        <f aca="false">W9</f>
        <v>-0.0407834380693457</v>
      </c>
      <c r="X19" s="0" t="n">
        <f aca="false">X9</f>
        <v>0</v>
      </c>
      <c r="Y19" s="0" t="n">
        <f aca="false">Y9</f>
        <v>0</v>
      </c>
      <c r="Z19" s="0" t="n">
        <f aca="false">Z9</f>
        <v>-71.8755568029328</v>
      </c>
    </row>
    <row r="20" customFormat="false" ht="15" hidden="false" customHeight="false" outlineLevel="0" collapsed="false">
      <c r="A20" s="0" t="s">
        <v>40</v>
      </c>
      <c r="B20" s="0" t="n">
        <f aca="false">B10</f>
        <v>-2.3283064365387E-013</v>
      </c>
      <c r="C20" s="0" t="n">
        <f aca="false">C10</f>
        <v>-1.74622982740402E-013</v>
      </c>
      <c r="D20" s="0" t="n">
        <f aca="false">D10</f>
        <v>-0.00802707529999316</v>
      </c>
      <c r="E20" s="0" t="n">
        <f aca="false">E10</f>
        <v>-77.2923605033221</v>
      </c>
      <c r="F20" s="0" t="n">
        <f aca="false">F10</f>
        <v>-248.257602532665</v>
      </c>
      <c r="G20" s="0" t="n">
        <f aca="false">G10</f>
        <v>0</v>
      </c>
      <c r="H20" s="0" t="n">
        <f aca="false">H10</f>
        <v>0</v>
      </c>
      <c r="I20" s="0" t="n">
        <f aca="false">I10</f>
        <v>0</v>
      </c>
      <c r="J20" s="0" t="n">
        <f aca="false">J10</f>
        <v>-151.437776710124</v>
      </c>
      <c r="K20" s="0" t="n">
        <f aca="false">K10</f>
        <v>-0.198423404499743</v>
      </c>
      <c r="L20" s="0" t="n">
        <f aca="false">L10</f>
        <v>-0.0273376059981674</v>
      </c>
      <c r="M20" s="0" t="n">
        <f aca="false">M10</f>
        <v>-5.82076609134674E-014</v>
      </c>
      <c r="N20" s="0" t="n">
        <f aca="false">N10</f>
        <v>5.23868948221207E-013</v>
      </c>
      <c r="O20" s="0" t="n">
        <f aca="false">O10</f>
        <v>3.78349795937538E-013</v>
      </c>
      <c r="P20" s="0" t="n">
        <f aca="false">P10</f>
        <v>-0.257293621189572</v>
      </c>
      <c r="Q20" s="0" t="n">
        <f aca="false">Q10</f>
        <v>-97.643054425055</v>
      </c>
      <c r="R20" s="0" t="n">
        <f aca="false">R10</f>
        <v>-202.504367472523</v>
      </c>
      <c r="S20" s="0" t="n">
        <f aca="false">S10</f>
        <v>0</v>
      </c>
      <c r="T20" s="0" t="n">
        <f aca="false">T10</f>
        <v>0</v>
      </c>
      <c r="U20" s="0" t="n">
        <f aca="false">U10</f>
        <v>0</v>
      </c>
      <c r="V20" s="0" t="n">
        <f aca="false">V10</f>
        <v>-181.029137981225</v>
      </c>
      <c r="W20" s="0" t="n">
        <f aca="false">W10</f>
        <v>-5.10472881198059</v>
      </c>
      <c r="X20" s="0" t="n">
        <f aca="false">X10</f>
        <v>1.5825207810849E-013</v>
      </c>
      <c r="Y20" s="0" t="n">
        <f aca="false">Y10</f>
        <v>1.45519152283669E-014</v>
      </c>
      <c r="Z20" s="0" t="n">
        <f aca="false">Z10</f>
        <v>-963.760110143882</v>
      </c>
    </row>
    <row r="21" customFormat="false" ht="15" hidden="false" customHeight="false" outlineLevel="0" collapsed="false">
      <c r="A21" s="0" t="s">
        <v>41</v>
      </c>
      <c r="B21" s="0" t="n">
        <f aca="false">SUM(B11:B12)</f>
        <v>0</v>
      </c>
      <c r="C21" s="0" t="n">
        <f aca="false">SUM(C11:C12)</f>
        <v>0</v>
      </c>
      <c r="D21" s="0" t="n">
        <f aca="false">SUM(D11:D12)</f>
        <v>0</v>
      </c>
      <c r="E21" s="0" t="n">
        <f aca="false">SUM(E11:E12)</f>
        <v>0</v>
      </c>
      <c r="F21" s="0" t="n">
        <f aca="false">SUM(F11:F12)</f>
        <v>-64.6082149824624</v>
      </c>
      <c r="G21" s="0" t="n">
        <f aca="false">SUM(G11:G12)</f>
        <v>-93.9023874514053</v>
      </c>
      <c r="H21" s="0" t="n">
        <f aca="false">SUM(H11:H12)</f>
        <v>-113.780155229358</v>
      </c>
      <c r="I21" s="0" t="n">
        <f aca="false">SUM(I11:I12)</f>
        <v>-37.3824</v>
      </c>
      <c r="J21" s="0" t="n">
        <f aca="false">SUM(J11:J12)</f>
        <v>0</v>
      </c>
      <c r="K21" s="0" t="n">
        <f aca="false">SUM(K11:K12)</f>
        <v>0</v>
      </c>
      <c r="L21" s="0" t="n">
        <f aca="false">SUM(L11:L12)</f>
        <v>0</v>
      </c>
      <c r="M21" s="0" t="n">
        <f aca="false">SUM(M11:M12)</f>
        <v>0</v>
      </c>
      <c r="N21" s="0" t="n">
        <f aca="false">SUM(N11:N12)</f>
        <v>0</v>
      </c>
      <c r="O21" s="0" t="n">
        <f aca="false">SUM(O11:O12)</f>
        <v>0</v>
      </c>
      <c r="P21" s="0" t="n">
        <f aca="false">SUM(P11:P12)</f>
        <v>0</v>
      </c>
      <c r="Q21" s="0" t="n">
        <f aca="false">SUM(Q11:Q12)</f>
        <v>0</v>
      </c>
      <c r="R21" s="0" t="n">
        <f aca="false">SUM(R11:R12)</f>
        <v>-217.14</v>
      </c>
      <c r="S21" s="0" t="n">
        <f aca="false">SUM(S11:S12)</f>
        <v>-2.37403191840369</v>
      </c>
      <c r="T21" s="0" t="n">
        <f aca="false">SUM(T11:T12)</f>
        <v>-92.9498359060492</v>
      </c>
      <c r="U21" s="0" t="n">
        <f aca="false">SUM(U11:U12)</f>
        <v>-49.2598146542144</v>
      </c>
      <c r="V21" s="0" t="n">
        <f aca="false">SUM(V11:V12)</f>
        <v>0</v>
      </c>
      <c r="W21" s="0" t="n">
        <f aca="false">SUM(W11:W12)</f>
        <v>0</v>
      </c>
      <c r="X21" s="0" t="n">
        <f aca="false">SUM(X11:X12)</f>
        <v>0</v>
      </c>
      <c r="Y21" s="0" t="n">
        <f aca="false">SUM(Y11:Y12)</f>
        <v>0</v>
      </c>
      <c r="Z21" s="0" t="n">
        <f aca="false">SUM(Z11:Z12)</f>
        <v>-671.396840141893</v>
      </c>
    </row>
    <row r="22" customFormat="false" ht="15" hidden="false" customHeight="false" outlineLevel="0" collapsed="false">
      <c r="A22" s="0" t="s">
        <v>42</v>
      </c>
      <c r="B22" s="0" t="n">
        <f aca="false">SUM(B13:B14)</f>
        <v>0</v>
      </c>
      <c r="C22" s="0" t="n">
        <f aca="false">SUM(C13:C14)</f>
        <v>0</v>
      </c>
      <c r="D22" s="0" t="n">
        <f aca="false">SUM(D13:D14)</f>
        <v>0</v>
      </c>
      <c r="E22" s="0" t="n">
        <f aca="false">SUM(E13:E14)</f>
        <v>0</v>
      </c>
      <c r="F22" s="0" t="n">
        <f aca="false">SUM(F13:F14)</f>
        <v>-33.676812</v>
      </c>
      <c r="G22" s="0" t="n">
        <f aca="false">SUM(G13:G14)</f>
        <v>-27.26665015</v>
      </c>
      <c r="H22" s="0" t="n">
        <f aca="false">SUM(H13:H14)</f>
        <v>100.373205047441</v>
      </c>
      <c r="I22" s="0" t="n">
        <f aca="false">SUM(I13:I14)</f>
        <v>-27.61905</v>
      </c>
      <c r="J22" s="0" t="n">
        <f aca="false">SUM(J13:J14)</f>
        <v>0</v>
      </c>
      <c r="K22" s="0" t="n">
        <f aca="false">SUM(K13:K14)</f>
        <v>0</v>
      </c>
      <c r="L22" s="0" t="n">
        <f aca="false">SUM(L13:L14)</f>
        <v>0</v>
      </c>
      <c r="M22" s="0" t="n">
        <f aca="false">SUM(M13:M14)</f>
        <v>0</v>
      </c>
      <c r="N22" s="0" t="n">
        <f aca="false">SUM(N13:N14)</f>
        <v>0</v>
      </c>
      <c r="O22" s="0" t="n">
        <f aca="false">SUM(O13:O14)</f>
        <v>0</v>
      </c>
      <c r="P22" s="0" t="n">
        <f aca="false">SUM(P13:P14)</f>
        <v>0</v>
      </c>
      <c r="Q22" s="0" t="n">
        <f aca="false">SUM(Q13:Q14)</f>
        <v>0</v>
      </c>
      <c r="R22" s="0" t="n">
        <f aca="false">SUM(R13:R14)</f>
        <v>-22.5213398</v>
      </c>
      <c r="S22" s="0" t="n">
        <f aca="false">SUM(S13:S14)</f>
        <v>-198.426576456205</v>
      </c>
      <c r="T22" s="0" t="n">
        <f aca="false">SUM(T13:T14)</f>
        <v>-351.730045590787</v>
      </c>
      <c r="U22" s="0" t="n">
        <f aca="false">SUM(U13:U14)</f>
        <v>-27.203825</v>
      </c>
      <c r="V22" s="0" t="n">
        <f aca="false">SUM(V13:V14)</f>
        <v>0</v>
      </c>
      <c r="W22" s="0" t="n">
        <f aca="false">SUM(W13:W14)</f>
        <v>0</v>
      </c>
      <c r="X22" s="0" t="n">
        <f aca="false">SUM(X13:X14)</f>
        <v>0</v>
      </c>
      <c r="Y22" s="0" t="n">
        <f aca="false">SUM(Y13:Y14)</f>
        <v>0</v>
      </c>
      <c r="Z22" s="0" t="n">
        <f aca="false">SUM(Z13:Z14)</f>
        <v>-588.07109394955</v>
      </c>
    </row>
    <row r="23" customFormat="false" ht="15" hidden="false" customHeight="false" outlineLevel="0" collapsed="false">
      <c r="A23" s="0" t="s">
        <v>43</v>
      </c>
      <c r="B23" s="0" t="n">
        <f aca="false">SUM(B15:B17)</f>
        <v>0</v>
      </c>
      <c r="C23" s="0" t="n">
        <f aca="false">SUM(C15:C17)</f>
        <v>0</v>
      </c>
      <c r="D23" s="0" t="n">
        <f aca="false">SUM(D15:D17)</f>
        <v>0</v>
      </c>
      <c r="E23" s="0" t="n">
        <f aca="false">SUM(E15:E17)</f>
        <v>0</v>
      </c>
      <c r="F23" s="0" t="n">
        <f aca="false">SUM(F15:F17)</f>
        <v>0</v>
      </c>
      <c r="G23" s="0" t="n">
        <f aca="false">SUM(G15:G17)</f>
        <v>-492.969296016387</v>
      </c>
      <c r="H23" s="0" t="n">
        <f aca="false">SUM(H15:H17)</f>
        <v>-609.542958817993</v>
      </c>
      <c r="I23" s="0" t="n">
        <f aca="false">SUM(I15:I17)</f>
        <v>-414.480702719678</v>
      </c>
      <c r="J23" s="0" t="n">
        <f aca="false">SUM(J15:J17)</f>
        <v>0</v>
      </c>
      <c r="K23" s="0" t="n">
        <f aca="false">SUM(K15:K17)</f>
        <v>0</v>
      </c>
      <c r="L23" s="0" t="n">
        <f aca="false">SUM(L15:L17)</f>
        <v>0</v>
      </c>
      <c r="M23" s="0" t="n">
        <f aca="false">SUM(M15:M17)</f>
        <v>0</v>
      </c>
      <c r="N23" s="0" t="n">
        <f aca="false">SUM(N15:N17)</f>
        <v>0</v>
      </c>
      <c r="O23" s="0" t="n">
        <f aca="false">SUM(O15:O17)</f>
        <v>0</v>
      </c>
      <c r="P23" s="0" t="n">
        <f aca="false">SUM(P15:P17)</f>
        <v>0</v>
      </c>
      <c r="Q23" s="0" t="n">
        <f aca="false">SUM(Q15:Q17)</f>
        <v>0</v>
      </c>
      <c r="R23" s="0" t="n">
        <f aca="false">SUM(R15:R17)</f>
        <v>26.6755499611922</v>
      </c>
      <c r="S23" s="0" t="n">
        <f aca="false">SUM(S15:S17)</f>
        <v>-402.054870283062</v>
      </c>
      <c r="T23" s="0" t="n">
        <f aca="false">SUM(T15:T17)</f>
        <v>-141.978200088156</v>
      </c>
      <c r="U23" s="0" t="n">
        <f aca="false">SUM(U15:U17)</f>
        <v>-384.844127617587</v>
      </c>
      <c r="V23" s="0" t="n">
        <f aca="false">SUM(V15:V17)</f>
        <v>0</v>
      </c>
      <c r="W23" s="0" t="n">
        <f aca="false">SUM(W15:W17)</f>
        <v>0</v>
      </c>
      <c r="X23" s="0" t="n">
        <f aca="false">SUM(X15:X17)</f>
        <v>0</v>
      </c>
      <c r="Y23" s="0" t="n">
        <f aca="false">SUM(Y15:Y17)</f>
        <v>0</v>
      </c>
      <c r="Z23" s="0" t="n">
        <f aca="false">SUM(Z15:Z17)</f>
        <v>-2419.19460558167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2:N53"/>
  <sheetViews>
    <sheetView showFormulas="false" showGridLines="true" showRowColHeaders="true" showZeros="true" rightToLeft="false" tabSelected="false" showOutlineSymbols="true" defaultGridColor="true" view="normal" topLeftCell="C25" colorId="64" zoomScale="150" zoomScaleNormal="150" zoomScalePageLayoutView="100" workbookViewId="0">
      <selection pane="topLeft" activeCell="F29" activeCellId="1" sqref="F30:M54 F29"/>
    </sheetView>
  </sheetViews>
  <sheetFormatPr defaultColWidth="11.53515625" defaultRowHeight="13.8" zeroHeight="false" outlineLevelRow="0" outlineLevelCol="0"/>
  <sheetData>
    <row r="2" customFormat="false" ht="13.8" hidden="false" customHeight="false" outlineLevel="0" collapsed="false">
      <c r="B2" s="0" t="s">
        <v>48</v>
      </c>
      <c r="C2" s="0" t="s">
        <v>39</v>
      </c>
      <c r="D2" s="0" t="s">
        <v>49</v>
      </c>
      <c r="E2" s="0" t="s">
        <v>40</v>
      </c>
      <c r="F2" s="0" t="s">
        <v>50</v>
      </c>
      <c r="G2" s="0" t="s">
        <v>51</v>
      </c>
      <c r="H2" s="0" t="s">
        <v>52</v>
      </c>
      <c r="I2" s="0" t="s">
        <v>41</v>
      </c>
      <c r="J2" s="0" t="s">
        <v>53</v>
      </c>
      <c r="K2" s="0" t="s">
        <v>42</v>
      </c>
      <c r="L2" s="0" t="s">
        <v>54</v>
      </c>
      <c r="M2" s="0" t="s">
        <v>43</v>
      </c>
      <c r="N2" s="0" t="s">
        <v>55</v>
      </c>
    </row>
    <row r="3" customFormat="false" ht="13.8" hidden="false" customHeight="false" outlineLevel="0" collapsed="false">
      <c r="B3" s="2" t="s">
        <v>5</v>
      </c>
      <c r="C3" s="0" t="n">
        <v>0</v>
      </c>
      <c r="D3" s="0" t="n">
        <v>0</v>
      </c>
      <c r="E3" s="0" t="n">
        <v>1.16415321826935E-013</v>
      </c>
      <c r="F3" s="0" t="n">
        <v>0</v>
      </c>
      <c r="G3" s="0" t="n">
        <f aca="false">SUM(C3+E3)</f>
        <v>1.16415321826935E-013</v>
      </c>
      <c r="H3" s="0" t="n">
        <f aca="false">D3+F3</f>
        <v>0</v>
      </c>
      <c r="I3" s="0" t="n">
        <v>0</v>
      </c>
      <c r="J3" s="0" t="n">
        <v>0</v>
      </c>
      <c r="K3" s="0" t="n">
        <v>0</v>
      </c>
      <c r="L3" s="0" t="n">
        <v>0</v>
      </c>
      <c r="M3" s="0" t="n">
        <v>0</v>
      </c>
      <c r="N3" s="0" t="n">
        <v>0</v>
      </c>
    </row>
    <row r="4" customFormat="false" ht="13.8" hidden="false" customHeight="false" outlineLevel="0" collapsed="false">
      <c r="B4" s="2" t="s">
        <v>6</v>
      </c>
      <c r="C4" s="0" t="n">
        <v>0</v>
      </c>
      <c r="D4" s="0" t="n">
        <v>0</v>
      </c>
      <c r="E4" s="0" t="n">
        <v>0</v>
      </c>
      <c r="F4" s="0" t="n">
        <v>0</v>
      </c>
      <c r="G4" s="0" t="n">
        <f aca="false">SUM(C4+E4)</f>
        <v>0</v>
      </c>
      <c r="H4" s="0" t="n">
        <f aca="false">D4+F4</f>
        <v>0</v>
      </c>
      <c r="I4" s="0" t="n">
        <v>0</v>
      </c>
      <c r="J4" s="0" t="n">
        <v>0</v>
      </c>
      <c r="K4" s="0" t="n">
        <v>0</v>
      </c>
      <c r="L4" s="0" t="n">
        <v>0</v>
      </c>
      <c r="M4" s="0" t="n">
        <v>0</v>
      </c>
      <c r="N4" s="0" t="n">
        <v>0</v>
      </c>
    </row>
    <row r="5" customFormat="false" ht="13.8" hidden="false" customHeight="false" outlineLevel="0" collapsed="false">
      <c r="B5" s="2" t="s">
        <v>7</v>
      </c>
      <c r="C5" s="0" t="n">
        <v>0</v>
      </c>
      <c r="D5" s="0" t="n">
        <v>-4.76936990216927E-005</v>
      </c>
      <c r="E5" s="0" t="n">
        <v>0</v>
      </c>
      <c r="F5" s="0" t="n">
        <v>-0.00596966344927205</v>
      </c>
      <c r="G5" s="0" t="n">
        <f aca="false">SUM(C5+E5)</f>
        <v>0</v>
      </c>
      <c r="H5" s="0" t="n">
        <f aca="false">D5+F5</f>
        <v>-0.00601735714829374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</row>
    <row r="6" customFormat="false" ht="13.8" hidden="false" customHeight="false" outlineLevel="0" collapsed="false">
      <c r="B6" s="2" t="s">
        <v>8</v>
      </c>
      <c r="C6" s="0" t="n">
        <v>0</v>
      </c>
      <c r="D6" s="0" t="n">
        <v>-11.5300695234764</v>
      </c>
      <c r="E6" s="0" t="n">
        <v>0</v>
      </c>
      <c r="F6" s="0" t="n">
        <v>-11.1312974980298</v>
      </c>
      <c r="G6" s="0" t="n">
        <f aca="false">SUM(C6+E6)</f>
        <v>0</v>
      </c>
      <c r="H6" s="0" t="n">
        <f aca="false">D6+F6</f>
        <v>-22.6613670215062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</row>
    <row r="7" customFormat="false" ht="13.8" hidden="false" customHeight="false" outlineLevel="0" collapsed="false">
      <c r="B7" s="2" t="s">
        <v>9</v>
      </c>
      <c r="C7" s="0" t="n">
        <v>0</v>
      </c>
      <c r="D7" s="0" t="n">
        <v>-0.99078890365209</v>
      </c>
      <c r="E7" s="0" t="n">
        <v>0</v>
      </c>
      <c r="F7" s="0" t="n">
        <v>0</v>
      </c>
      <c r="G7" s="0" t="n">
        <f aca="false">SUM(C7+E7)</f>
        <v>0</v>
      </c>
      <c r="H7" s="0" t="n">
        <f aca="false">D7+F7</f>
        <v>-0.99078890365209</v>
      </c>
      <c r="I7" s="0" t="n">
        <v>10.388</v>
      </c>
      <c r="J7" s="0" t="n">
        <v>0</v>
      </c>
      <c r="K7" s="0" t="n">
        <v>111.994036333333</v>
      </c>
      <c r="L7" s="0" t="n">
        <v>0</v>
      </c>
      <c r="M7" s="0" t="n">
        <v>0</v>
      </c>
      <c r="N7" s="0" t="n">
        <v>-246.395824834028</v>
      </c>
    </row>
    <row r="8" customFormat="false" ht="13.8" hidden="false" customHeight="false" outlineLevel="0" collapsed="false">
      <c r="B8" s="2" t="s">
        <v>10</v>
      </c>
      <c r="C8" s="0" t="n">
        <v>0</v>
      </c>
      <c r="D8" s="0" t="n">
        <v>-1.4271543903869</v>
      </c>
      <c r="E8" s="0" t="n">
        <v>0</v>
      </c>
      <c r="F8" s="0" t="n">
        <v>0</v>
      </c>
      <c r="G8" s="0" t="n">
        <f aca="false">SUM(C8+E8)</f>
        <v>0</v>
      </c>
      <c r="H8" s="0" t="n">
        <f aca="false">D8+F8</f>
        <v>-1.4271543903869</v>
      </c>
      <c r="I8" s="0" t="n">
        <v>0</v>
      </c>
      <c r="J8" s="0" t="n">
        <v>-120.87035219249</v>
      </c>
      <c r="K8" s="0" t="n">
        <v>0</v>
      </c>
      <c r="L8" s="0" t="n">
        <v>-37.2909006</v>
      </c>
      <c r="M8" s="0" t="n">
        <v>0</v>
      </c>
      <c r="N8" s="0" t="n">
        <v>-20.4709685362891</v>
      </c>
    </row>
    <row r="9" customFormat="false" ht="13.8" hidden="false" customHeight="false" outlineLevel="0" collapsed="false">
      <c r="B9" s="2" t="s">
        <v>11</v>
      </c>
      <c r="C9" s="0" t="n">
        <v>0</v>
      </c>
      <c r="D9" s="0" t="n">
        <v>-1.44763101235371</v>
      </c>
      <c r="E9" s="0" t="n">
        <v>0</v>
      </c>
      <c r="F9" s="0" t="n">
        <v>0</v>
      </c>
      <c r="G9" s="0" t="n">
        <f aca="false">SUM(C9+E9)</f>
        <v>0</v>
      </c>
      <c r="H9" s="0" t="n">
        <f aca="false">D9+F9</f>
        <v>-1.44763101235371</v>
      </c>
      <c r="I9" s="0" t="n">
        <v>0</v>
      </c>
      <c r="J9" s="0" t="n">
        <v>-306.561236295201</v>
      </c>
      <c r="K9" s="0" t="n">
        <v>0</v>
      </c>
      <c r="L9" s="0" t="n">
        <v>0</v>
      </c>
      <c r="M9" s="0" t="n">
        <v>125.366023539651</v>
      </c>
      <c r="N9" s="0" t="n">
        <v>0</v>
      </c>
    </row>
    <row r="10" customFormat="false" ht="13.8" hidden="false" customHeight="false" outlineLevel="0" collapsed="false">
      <c r="B10" s="2" t="s">
        <v>12</v>
      </c>
      <c r="C10" s="0" t="n">
        <v>0</v>
      </c>
      <c r="D10" s="0" t="n">
        <v>-1.11423603105017</v>
      </c>
      <c r="E10" s="0" t="n">
        <v>0</v>
      </c>
      <c r="F10" s="0" t="n">
        <v>0</v>
      </c>
      <c r="G10" s="0" t="n">
        <f aca="false">SUM(C10+E10)</f>
        <v>0</v>
      </c>
      <c r="H10" s="0" t="n">
        <f aca="false">D10+F10</f>
        <v>-1.11423603105017</v>
      </c>
      <c r="I10" s="0" t="n">
        <v>21.0276</v>
      </c>
      <c r="J10" s="0" t="n">
        <v>0</v>
      </c>
      <c r="K10" s="0" t="n">
        <v>37.6340619346484</v>
      </c>
      <c r="L10" s="0" t="n">
        <v>0</v>
      </c>
      <c r="M10" s="0" t="n">
        <v>0</v>
      </c>
      <c r="N10" s="0" t="n">
        <v>-198.126921371011</v>
      </c>
    </row>
    <row r="11" customFormat="false" ht="13.8" hidden="false" customHeight="false" outlineLevel="0" collapsed="false">
      <c r="B11" s="2" t="s">
        <v>13</v>
      </c>
      <c r="C11" s="0" t="n">
        <v>0</v>
      </c>
      <c r="D11" s="0" t="n">
        <v>-0.351915970835311</v>
      </c>
      <c r="E11" s="0" t="n">
        <v>0</v>
      </c>
      <c r="F11" s="0" t="n">
        <v>0</v>
      </c>
      <c r="G11" s="0" t="n">
        <f aca="false">SUM(C11+E11)</f>
        <v>0</v>
      </c>
      <c r="H11" s="0" t="n">
        <f aca="false">D11+F11</f>
        <v>-0.351915970835311</v>
      </c>
      <c r="I11" s="0" t="n">
        <v>71.9398313113767</v>
      </c>
      <c r="J11" s="0" t="n">
        <v>0</v>
      </c>
      <c r="K11" s="0" t="n">
        <v>0</v>
      </c>
      <c r="L11" s="0" t="n">
        <v>0</v>
      </c>
      <c r="M11" s="0" t="n">
        <v>0</v>
      </c>
      <c r="N11" s="0" t="n">
        <v>-115.98799597725</v>
      </c>
    </row>
    <row r="12" customFormat="false" ht="13.8" hidden="false" customHeight="false" outlineLevel="0" collapsed="false">
      <c r="B12" s="2" t="s">
        <v>14</v>
      </c>
      <c r="C12" s="0" t="n">
        <v>0</v>
      </c>
      <c r="D12" s="0" t="n">
        <v>-0.000461102682220371</v>
      </c>
      <c r="E12" s="0" t="n">
        <v>0</v>
      </c>
      <c r="F12" s="0" t="n">
        <v>-0.00695216650118528</v>
      </c>
      <c r="G12" s="0" t="n">
        <f aca="false">SUM(C12+E12)</f>
        <v>0</v>
      </c>
      <c r="H12" s="0" t="n">
        <f aca="false">D12+F12</f>
        <v>-0.00741326918340565</v>
      </c>
      <c r="I12" s="0" t="n">
        <v>0</v>
      </c>
      <c r="J12" s="0" t="n">
        <v>0</v>
      </c>
      <c r="K12" s="0" t="n">
        <v>0</v>
      </c>
      <c r="L12" s="0" t="n">
        <v>0</v>
      </c>
      <c r="M12" s="0" t="n">
        <v>0</v>
      </c>
      <c r="N12" s="0" t="n">
        <v>-0.0507625397288791</v>
      </c>
    </row>
    <row r="13" customFormat="false" ht="13.8" hidden="false" customHeight="false" outlineLevel="0" collapsed="false">
      <c r="B13" s="2" t="s">
        <v>15</v>
      </c>
      <c r="C13" s="0" t="n">
        <v>0</v>
      </c>
      <c r="D13" s="0" t="n">
        <v>-6.35280071110174E-005</v>
      </c>
      <c r="E13" s="0" t="n">
        <v>0</v>
      </c>
      <c r="F13" s="0" t="n">
        <v>-0.000957828483609774</v>
      </c>
      <c r="G13" s="0" t="n">
        <f aca="false">SUM(C13+E13)</f>
        <v>0</v>
      </c>
      <c r="H13" s="0" t="n">
        <f aca="false">D13+F13</f>
        <v>-0.00102135649072079</v>
      </c>
      <c r="I13" s="0" t="n">
        <v>0</v>
      </c>
      <c r="J13" s="0" t="n">
        <v>0</v>
      </c>
      <c r="K13" s="0" t="n">
        <v>0</v>
      </c>
      <c r="L13" s="0" t="n">
        <v>0</v>
      </c>
      <c r="M13" s="0" t="n">
        <v>0</v>
      </c>
      <c r="N13" s="0" t="n">
        <v>-0.00699376323137813</v>
      </c>
    </row>
    <row r="14" customFormat="false" ht="13.8" hidden="false" customHeight="false" outlineLevel="0" collapsed="false">
      <c r="B14" s="2" t="s">
        <v>16</v>
      </c>
      <c r="C14" s="0" t="n">
        <v>9.09494701772928E-015</v>
      </c>
      <c r="D14" s="0" t="n">
        <v>0</v>
      </c>
      <c r="E14" s="0" t="n">
        <v>0</v>
      </c>
      <c r="F14" s="0" t="n">
        <v>0</v>
      </c>
      <c r="G14" s="0" t="n">
        <f aca="false">SUM(C14+E14)</f>
        <v>9.09494701772928E-015</v>
      </c>
      <c r="H14" s="0" t="n">
        <f aca="false">D14+F14</f>
        <v>0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</row>
    <row r="15" customFormat="false" ht="13.8" hidden="false" customHeight="false" outlineLevel="0" collapsed="false">
      <c r="B15" s="2" t="s">
        <v>17</v>
      </c>
      <c r="C15" s="0" t="n">
        <v>0</v>
      </c>
      <c r="D15" s="0" t="n">
        <v>0</v>
      </c>
      <c r="E15" s="0" t="n">
        <v>0</v>
      </c>
      <c r="F15" s="0" t="n">
        <v>0</v>
      </c>
      <c r="G15" s="0" t="n">
        <f aca="false">SUM(C15+E15)</f>
        <v>0</v>
      </c>
      <c r="H15" s="0" t="n">
        <f aca="false">D15+F15</f>
        <v>0</v>
      </c>
      <c r="I15" s="0" t="n">
        <v>0</v>
      </c>
      <c r="J15" s="0" t="n">
        <v>0</v>
      </c>
      <c r="K15" s="0" t="n">
        <v>0</v>
      </c>
      <c r="L15" s="0" t="n">
        <v>-16.6674401394335</v>
      </c>
      <c r="M15" s="0" t="n">
        <v>16.6674401394336</v>
      </c>
      <c r="N15" s="0" t="n">
        <v>0</v>
      </c>
    </row>
    <row r="16" customFormat="false" ht="13.8" hidden="false" customHeight="false" outlineLevel="0" collapsed="false">
      <c r="B16" s="2" t="s">
        <v>18</v>
      </c>
      <c r="C16" s="0" t="n">
        <v>0</v>
      </c>
      <c r="D16" s="0" t="n">
        <v>0</v>
      </c>
      <c r="E16" s="0" t="n">
        <v>0</v>
      </c>
      <c r="F16" s="0" t="n">
        <v>-2.91038304567337E-014</v>
      </c>
      <c r="G16" s="0" t="n">
        <f aca="false">SUM(C16+E16)</f>
        <v>0</v>
      </c>
      <c r="H16" s="0" t="n">
        <f aca="false">D16+F16</f>
        <v>-2.91038304567337E-014</v>
      </c>
      <c r="I16" s="0" t="n">
        <v>0</v>
      </c>
      <c r="J16" s="0" t="n">
        <v>0</v>
      </c>
      <c r="K16" s="0" t="n">
        <v>3.37996561818509</v>
      </c>
      <c r="L16" s="0" t="n">
        <v>0</v>
      </c>
      <c r="M16" s="0" t="n">
        <v>0</v>
      </c>
      <c r="N16" s="0" t="n">
        <v>-3.379965618185</v>
      </c>
    </row>
    <row r="17" customFormat="false" ht="13.8" hidden="false" customHeight="false" outlineLevel="0" collapsed="false">
      <c r="B17" s="2" t="s">
        <v>19</v>
      </c>
      <c r="C17" s="0" t="n">
        <v>0</v>
      </c>
      <c r="D17" s="0" t="n">
        <v>-0.000597907183120697</v>
      </c>
      <c r="E17" s="0" t="n">
        <v>0</v>
      </c>
      <c r="F17" s="0" t="n">
        <v>-0.0090148039679043</v>
      </c>
      <c r="G17" s="0" t="n">
        <f aca="false">SUM(C17+E17)</f>
        <v>0</v>
      </c>
      <c r="H17" s="0" t="n">
        <f aca="false">D17+F17</f>
        <v>-0.009612711151025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-0.0658232717082137</v>
      </c>
    </row>
    <row r="18" customFormat="false" ht="13.8" hidden="false" customHeight="false" outlineLevel="0" collapsed="false">
      <c r="B18" s="2" t="s">
        <v>20</v>
      </c>
      <c r="C18" s="0" t="n">
        <v>0</v>
      </c>
      <c r="D18" s="0" t="n">
        <v>-0.226906066899624</v>
      </c>
      <c r="E18" s="0" t="n">
        <v>0</v>
      </c>
      <c r="F18" s="0" t="n">
        <v>0</v>
      </c>
      <c r="G18" s="0" t="n">
        <f aca="false">SUM(C18+E18)</f>
        <v>0</v>
      </c>
      <c r="H18" s="0" t="n">
        <f aca="false">D18+F18</f>
        <v>-0.226906066899624</v>
      </c>
      <c r="I18" s="0" t="n">
        <v>4.914</v>
      </c>
      <c r="J18" s="0" t="n">
        <v>0</v>
      </c>
      <c r="K18" s="0" t="n">
        <v>26.767638</v>
      </c>
      <c r="L18" s="0" t="n">
        <v>0</v>
      </c>
      <c r="M18" s="0" t="n">
        <v>0</v>
      </c>
      <c r="N18" s="0" t="n">
        <v>-60.0827241307501</v>
      </c>
    </row>
    <row r="19" customFormat="false" ht="13.8" hidden="false" customHeight="false" outlineLevel="0" collapsed="false">
      <c r="B19" s="2" t="s">
        <v>21</v>
      </c>
      <c r="C19" s="0" t="n">
        <v>0</v>
      </c>
      <c r="D19" s="0" t="n">
        <v>-1.00271788512082</v>
      </c>
      <c r="E19" s="0" t="n">
        <v>0</v>
      </c>
      <c r="F19" s="0" t="n">
        <v>0</v>
      </c>
      <c r="G19" s="0" t="n">
        <f aca="false">SUM(C19+E19)</f>
        <v>0</v>
      </c>
      <c r="H19" s="0" t="n">
        <f aca="false">D19+F19</f>
        <v>-1.00271788512082</v>
      </c>
      <c r="I19" s="0" t="n">
        <v>0</v>
      </c>
      <c r="J19" s="0" t="n">
        <v>-33.088</v>
      </c>
      <c r="K19" s="0" t="n">
        <v>0</v>
      </c>
      <c r="L19" s="0" t="n">
        <v>0</v>
      </c>
      <c r="M19" s="0" t="n">
        <v>0</v>
      </c>
      <c r="N19" s="0" t="n">
        <v>-92.4188998783429</v>
      </c>
    </row>
    <row r="20" customFormat="false" ht="13.8" hidden="false" customHeight="false" outlineLevel="0" collapsed="false">
      <c r="B20" s="2" t="s">
        <v>22</v>
      </c>
      <c r="C20" s="0" t="n">
        <v>0</v>
      </c>
      <c r="D20" s="0" t="n">
        <v>-1.40093492954072</v>
      </c>
      <c r="E20" s="0" t="n">
        <v>0</v>
      </c>
      <c r="F20" s="0" t="n">
        <v>0</v>
      </c>
      <c r="G20" s="0" t="n">
        <f aca="false">SUM(C20+E20)</f>
        <v>0</v>
      </c>
      <c r="H20" s="0" t="n">
        <f aca="false">D20+F20</f>
        <v>-1.40093492954072</v>
      </c>
      <c r="I20" s="0" t="n">
        <v>0</v>
      </c>
      <c r="J20" s="0" t="n">
        <v>-88.6114174587338</v>
      </c>
      <c r="K20" s="0" t="n">
        <v>9.56035935</v>
      </c>
      <c r="L20" s="0" t="n">
        <v>0</v>
      </c>
      <c r="M20" s="0" t="n">
        <v>0</v>
      </c>
      <c r="N20" s="0" t="n">
        <v>-96.2993595381543</v>
      </c>
    </row>
    <row r="21" customFormat="false" ht="13.8" hidden="false" customHeight="false" outlineLevel="0" collapsed="false">
      <c r="B21" s="2" t="s">
        <v>23</v>
      </c>
      <c r="C21" s="0" t="n">
        <v>0</v>
      </c>
      <c r="D21" s="0" t="n">
        <v>-1.36329489784145</v>
      </c>
      <c r="E21" s="0" t="n">
        <v>0</v>
      </c>
      <c r="F21" s="0" t="n">
        <v>0</v>
      </c>
      <c r="G21" s="0" t="n">
        <f aca="false">SUM(C21+E21)</f>
        <v>0</v>
      </c>
      <c r="H21" s="0" t="n">
        <f aca="false">D21+F21</f>
        <v>-1.36329489784145</v>
      </c>
      <c r="I21" s="0" t="n">
        <v>0</v>
      </c>
      <c r="J21" s="0" t="n">
        <v>-122.874977725217</v>
      </c>
      <c r="K21" s="0" t="n">
        <v>0</v>
      </c>
      <c r="L21" s="0" t="n">
        <v>0</v>
      </c>
      <c r="M21" s="0" t="n">
        <v>0</v>
      </c>
      <c r="N21" s="0" t="n">
        <v>-47.7641609467987</v>
      </c>
    </row>
    <row r="22" customFormat="false" ht="13.8" hidden="false" customHeight="false" outlineLevel="0" collapsed="false">
      <c r="B22" s="2" t="s">
        <v>24</v>
      </c>
      <c r="C22" s="0" t="n">
        <v>0</v>
      </c>
      <c r="D22" s="0" t="n">
        <v>-1.07200181024893</v>
      </c>
      <c r="E22" s="0" t="n">
        <v>0</v>
      </c>
      <c r="F22" s="0" t="n">
        <v>0</v>
      </c>
      <c r="G22" s="0" t="n">
        <f aca="false">SUM(C22+E22)</f>
        <v>0</v>
      </c>
      <c r="H22" s="0" t="n">
        <f aca="false">D22+F22</f>
        <v>-1.07200181024893</v>
      </c>
      <c r="I22" s="0" t="n">
        <v>35.3792</v>
      </c>
      <c r="J22" s="0" t="n">
        <v>0</v>
      </c>
      <c r="K22" s="0" t="n">
        <v>0</v>
      </c>
      <c r="L22" s="0" t="n">
        <v>-233.499248966667</v>
      </c>
      <c r="M22" s="0" t="n">
        <v>63.9411080454085</v>
      </c>
      <c r="N22" s="0" t="n">
        <v>0</v>
      </c>
    </row>
    <row r="23" customFormat="false" ht="13.8" hidden="false" customHeight="false" outlineLevel="0" collapsed="false">
      <c r="B23" s="2" t="s">
        <v>25</v>
      </c>
      <c r="C23" s="0" t="n">
        <v>0</v>
      </c>
      <c r="D23" s="0" t="n">
        <v>-0.420681326853386</v>
      </c>
      <c r="E23" s="0" t="n">
        <v>0</v>
      </c>
      <c r="F23" s="0" t="n">
        <v>0</v>
      </c>
      <c r="G23" s="0" t="n">
        <f aca="false">SUM(C23+E23)</f>
        <v>0</v>
      </c>
      <c r="H23" s="0" t="n">
        <f aca="false">D23+F23</f>
        <v>-0.420681326853386</v>
      </c>
      <c r="I23" s="0" t="n">
        <v>0</v>
      </c>
      <c r="J23" s="0" t="n">
        <v>-77.680064100181</v>
      </c>
      <c r="K23" s="0" t="n">
        <v>0</v>
      </c>
      <c r="L23" s="0" t="n">
        <v>0</v>
      </c>
      <c r="M23" s="0" t="n">
        <v>25.0247659813935</v>
      </c>
      <c r="N23" s="0" t="n">
        <v>0</v>
      </c>
    </row>
    <row r="24" customFormat="false" ht="13.8" hidden="false" customHeight="false" outlineLevel="0" collapsed="false">
      <c r="B24" s="2" t="s">
        <v>26</v>
      </c>
      <c r="C24" s="0" t="n">
        <v>0</v>
      </c>
      <c r="D24" s="0" t="n">
        <v>-0.0118625328154267</v>
      </c>
      <c r="E24" s="0" t="n">
        <v>0</v>
      </c>
      <c r="F24" s="0" t="n">
        <v>-0.17885452945334</v>
      </c>
      <c r="G24" s="0" t="n">
        <f aca="false">SUM(C24+E24)</f>
        <v>0</v>
      </c>
      <c r="H24" s="0" t="n">
        <f aca="false">D24+F24</f>
        <v>-0.190717062268766</v>
      </c>
      <c r="I24" s="0" t="n">
        <v>0.4758</v>
      </c>
      <c r="J24" s="0" t="n">
        <v>0</v>
      </c>
      <c r="K24" s="0" t="n">
        <v>0</v>
      </c>
      <c r="L24" s="0" t="n">
        <v>0</v>
      </c>
      <c r="M24" s="0" t="n">
        <v>0</v>
      </c>
      <c r="N24" s="0" t="n">
        <v>-1.78173968880252</v>
      </c>
    </row>
    <row r="25" customFormat="false" ht="13.8" hidden="false" customHeight="false" outlineLevel="0" collapsed="false">
      <c r="B25" s="2" t="s">
        <v>27</v>
      </c>
      <c r="C25" s="0" t="n">
        <v>0</v>
      </c>
      <c r="D25" s="0" t="n">
        <v>0</v>
      </c>
      <c r="E25" s="0" t="n">
        <v>0</v>
      </c>
      <c r="F25" s="0" t="n">
        <v>0</v>
      </c>
      <c r="G25" s="0" t="n">
        <f aca="false">SUM(C25+E25)</f>
        <v>0</v>
      </c>
      <c r="H25" s="0" t="n">
        <f aca="false">D25+F25</f>
        <v>0</v>
      </c>
      <c r="I25" s="0" t="n">
        <v>0</v>
      </c>
      <c r="J25" s="0" t="n">
        <v>0</v>
      </c>
      <c r="K25" s="0" t="n">
        <v>0</v>
      </c>
      <c r="L25" s="0" t="n">
        <v>-53.830045527586</v>
      </c>
      <c r="M25" s="0" t="n">
        <v>53.8300455275862</v>
      </c>
      <c r="N25" s="0" t="n">
        <v>0</v>
      </c>
    </row>
    <row r="26" customFormat="false" ht="13.8" hidden="false" customHeight="false" outlineLevel="0" collapsed="false">
      <c r="B26" s="2" t="s">
        <v>28</v>
      </c>
      <c r="C26" s="0" t="n">
        <v>0</v>
      </c>
      <c r="D26" s="0" t="n">
        <v>-6.50288711767644E-014</v>
      </c>
      <c r="E26" s="0" t="n">
        <v>0</v>
      </c>
      <c r="F26" s="0" t="n">
        <v>0</v>
      </c>
      <c r="G26" s="0" t="n">
        <f aca="false">SUM(C26+E26)</f>
        <v>0</v>
      </c>
      <c r="H26" s="0" t="n">
        <f aca="false">D26+F26</f>
        <v>-6.50288711767644E-014</v>
      </c>
      <c r="I26" s="0" t="n">
        <v>0</v>
      </c>
      <c r="J26" s="0" t="n">
        <v>0</v>
      </c>
      <c r="K26" s="0" t="n">
        <v>0</v>
      </c>
      <c r="L26" s="0" t="n">
        <v>-11.0806675120603</v>
      </c>
      <c r="M26" s="0" t="n">
        <v>11.0806675120605</v>
      </c>
      <c r="N26" s="0" t="n">
        <v>0</v>
      </c>
    </row>
    <row r="29" customFormat="false" ht="13.8" hidden="false" customHeight="false" outlineLevel="0" collapsed="false">
      <c r="F29" s="0" t="s">
        <v>48</v>
      </c>
      <c r="G29" s="0" t="s">
        <v>51</v>
      </c>
      <c r="H29" s="0" t="s">
        <v>52</v>
      </c>
      <c r="I29" s="0" t="s">
        <v>41</v>
      </c>
      <c r="J29" s="0" t="s">
        <v>53</v>
      </c>
      <c r="K29" s="0" t="s">
        <v>42</v>
      </c>
      <c r="L29" s="0" t="s">
        <v>54</v>
      </c>
      <c r="M29" s="0" t="s">
        <v>43</v>
      </c>
      <c r="N29" s="0" t="s">
        <v>55</v>
      </c>
    </row>
    <row r="30" customFormat="false" ht="13.8" hidden="false" customHeight="false" outlineLevel="0" collapsed="false">
      <c r="F30" s="2" t="s">
        <v>5</v>
      </c>
      <c r="G30" s="0" t="n">
        <v>1.16415321826935E-013</v>
      </c>
      <c r="H30" s="0" t="n">
        <v>0</v>
      </c>
      <c r="I30" s="0" t="n">
        <v>0</v>
      </c>
      <c r="J30" s="0" t="n">
        <v>0</v>
      </c>
      <c r="K30" s="0" t="n">
        <v>0</v>
      </c>
      <c r="L30" s="0" t="n">
        <v>0</v>
      </c>
      <c r="M30" s="0" t="n">
        <v>0</v>
      </c>
      <c r="N30" s="0" t="n">
        <v>0</v>
      </c>
    </row>
    <row r="31" customFormat="false" ht="13.8" hidden="false" customHeight="false" outlineLevel="0" collapsed="false">
      <c r="F31" s="2" t="s">
        <v>6</v>
      </c>
      <c r="G31" s="0" t="n">
        <v>0</v>
      </c>
      <c r="H31" s="0" t="n">
        <v>0</v>
      </c>
      <c r="I31" s="0" t="n">
        <v>0</v>
      </c>
      <c r="J31" s="0" t="n">
        <v>0</v>
      </c>
      <c r="K31" s="0" t="n">
        <v>0</v>
      </c>
      <c r="L31" s="0" t="n">
        <v>0</v>
      </c>
      <c r="M31" s="0" t="n">
        <v>0</v>
      </c>
      <c r="N31" s="0" t="n">
        <v>0</v>
      </c>
    </row>
    <row r="32" customFormat="false" ht="13.8" hidden="false" customHeight="false" outlineLevel="0" collapsed="false">
      <c r="F32" s="2" t="s">
        <v>7</v>
      </c>
      <c r="G32" s="0" t="n">
        <v>0</v>
      </c>
      <c r="H32" s="0" t="n">
        <v>-0.00601735714829374</v>
      </c>
      <c r="I32" s="0" t="n">
        <v>0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</row>
    <row r="33" customFormat="false" ht="13.8" hidden="false" customHeight="false" outlineLevel="0" collapsed="false">
      <c r="F33" s="2" t="s">
        <v>8</v>
      </c>
      <c r="G33" s="0" t="n">
        <v>0</v>
      </c>
      <c r="H33" s="0" t="n">
        <v>-22.6613670215062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0</v>
      </c>
    </row>
    <row r="34" customFormat="false" ht="13.8" hidden="false" customHeight="false" outlineLevel="0" collapsed="false">
      <c r="F34" s="2" t="s">
        <v>9</v>
      </c>
      <c r="G34" s="0" t="n">
        <v>0</v>
      </c>
      <c r="H34" s="0" t="n">
        <v>-0.99078890365209</v>
      </c>
      <c r="I34" s="0" t="n">
        <v>10.388</v>
      </c>
      <c r="J34" s="0" t="n">
        <v>0</v>
      </c>
      <c r="K34" s="0" t="n">
        <v>111.994036333333</v>
      </c>
      <c r="L34" s="0" t="n">
        <v>0</v>
      </c>
      <c r="M34" s="0" t="n">
        <v>0</v>
      </c>
      <c r="N34" s="0" t="n">
        <v>-246.395824834028</v>
      </c>
    </row>
    <row r="35" customFormat="false" ht="13.8" hidden="false" customHeight="false" outlineLevel="0" collapsed="false">
      <c r="F35" s="2" t="s">
        <v>10</v>
      </c>
      <c r="G35" s="0" t="n">
        <v>0</v>
      </c>
      <c r="H35" s="0" t="n">
        <v>-1.4271543903869</v>
      </c>
      <c r="I35" s="0" t="n">
        <v>0</v>
      </c>
      <c r="J35" s="0" t="n">
        <v>-120.87035219249</v>
      </c>
      <c r="K35" s="0" t="n">
        <v>0</v>
      </c>
      <c r="L35" s="0" t="n">
        <v>-37.2909006</v>
      </c>
      <c r="M35" s="0" t="n">
        <v>0</v>
      </c>
      <c r="N35" s="0" t="n">
        <v>-20.4709685362891</v>
      </c>
    </row>
    <row r="36" customFormat="false" ht="13.8" hidden="false" customHeight="false" outlineLevel="0" collapsed="false">
      <c r="F36" s="2" t="s">
        <v>11</v>
      </c>
      <c r="G36" s="0" t="n">
        <v>0</v>
      </c>
      <c r="H36" s="0" t="n">
        <v>-1.44763101235371</v>
      </c>
      <c r="I36" s="0" t="n">
        <v>0</v>
      </c>
      <c r="J36" s="0" t="n">
        <v>-306.561236295201</v>
      </c>
      <c r="K36" s="0" t="n">
        <v>0</v>
      </c>
      <c r="L36" s="0" t="n">
        <v>0</v>
      </c>
      <c r="M36" s="0" t="n">
        <v>125.366023539651</v>
      </c>
      <c r="N36" s="0" t="n">
        <v>0</v>
      </c>
    </row>
    <row r="37" customFormat="false" ht="13.8" hidden="false" customHeight="false" outlineLevel="0" collapsed="false">
      <c r="F37" s="2" t="s">
        <v>12</v>
      </c>
      <c r="G37" s="0" t="n">
        <v>0</v>
      </c>
      <c r="H37" s="0" t="n">
        <v>-1.11423603105017</v>
      </c>
      <c r="I37" s="0" t="n">
        <v>21.0276</v>
      </c>
      <c r="J37" s="0" t="n">
        <v>0</v>
      </c>
      <c r="K37" s="0" t="n">
        <v>37.6340619346484</v>
      </c>
      <c r="L37" s="0" t="n">
        <v>0</v>
      </c>
      <c r="M37" s="0" t="n">
        <v>0</v>
      </c>
      <c r="N37" s="0" t="n">
        <v>-198.126921371011</v>
      </c>
    </row>
    <row r="38" customFormat="false" ht="13.8" hidden="false" customHeight="false" outlineLevel="0" collapsed="false">
      <c r="F38" s="2" t="s">
        <v>13</v>
      </c>
      <c r="G38" s="0" t="n">
        <v>0</v>
      </c>
      <c r="H38" s="0" t="n">
        <v>-0.351915970835311</v>
      </c>
      <c r="I38" s="0" t="n">
        <v>71.9398313113767</v>
      </c>
      <c r="J38" s="0" t="n">
        <v>0</v>
      </c>
      <c r="K38" s="0" t="n">
        <v>0</v>
      </c>
      <c r="L38" s="0" t="n">
        <v>0</v>
      </c>
      <c r="M38" s="0" t="n">
        <v>0</v>
      </c>
      <c r="N38" s="0" t="n">
        <v>-115.98799597725</v>
      </c>
    </row>
    <row r="39" customFormat="false" ht="13.8" hidden="false" customHeight="false" outlineLevel="0" collapsed="false">
      <c r="F39" s="2" t="s">
        <v>14</v>
      </c>
      <c r="G39" s="0" t="n">
        <v>0</v>
      </c>
      <c r="H39" s="0" t="n">
        <v>-0.00741326918340565</v>
      </c>
      <c r="I39" s="0" t="n">
        <v>0</v>
      </c>
      <c r="J39" s="0" t="n">
        <v>0</v>
      </c>
      <c r="K39" s="0" t="n">
        <v>0</v>
      </c>
      <c r="L39" s="0" t="n">
        <v>0</v>
      </c>
      <c r="M39" s="0" t="n">
        <v>0</v>
      </c>
      <c r="N39" s="0" t="n">
        <v>-0.0507625397288791</v>
      </c>
    </row>
    <row r="40" customFormat="false" ht="13.8" hidden="false" customHeight="false" outlineLevel="0" collapsed="false">
      <c r="F40" s="2" t="s">
        <v>15</v>
      </c>
      <c r="G40" s="0" t="n">
        <v>0</v>
      </c>
      <c r="H40" s="0" t="n">
        <v>-0.00102135649072079</v>
      </c>
      <c r="I40" s="0" t="n">
        <v>0</v>
      </c>
      <c r="J40" s="0" t="n">
        <v>0</v>
      </c>
      <c r="K40" s="0" t="n">
        <v>0</v>
      </c>
      <c r="L40" s="0" t="n">
        <v>0</v>
      </c>
      <c r="M40" s="0" t="n">
        <v>0</v>
      </c>
      <c r="N40" s="0" t="n">
        <v>-0.00699376323137813</v>
      </c>
    </row>
    <row r="41" customFormat="false" ht="13.8" hidden="false" customHeight="false" outlineLevel="0" collapsed="false">
      <c r="F41" s="2" t="s">
        <v>16</v>
      </c>
      <c r="G41" s="0" t="n">
        <v>9.09494701772928E-015</v>
      </c>
      <c r="H41" s="0" t="n">
        <v>0</v>
      </c>
      <c r="I41" s="0" t="n">
        <v>0</v>
      </c>
      <c r="J41" s="0" t="n">
        <v>0</v>
      </c>
      <c r="K41" s="0" t="n">
        <v>0</v>
      </c>
      <c r="L41" s="0" t="n">
        <v>0</v>
      </c>
      <c r="M41" s="0" t="n">
        <v>0</v>
      </c>
      <c r="N41" s="0" t="n">
        <v>0</v>
      </c>
    </row>
    <row r="42" customFormat="false" ht="13.8" hidden="false" customHeight="false" outlineLevel="0" collapsed="false">
      <c r="F42" s="2" t="s">
        <v>17</v>
      </c>
      <c r="G42" s="0" t="n">
        <v>0</v>
      </c>
      <c r="H42" s="0" t="n">
        <v>0</v>
      </c>
      <c r="I42" s="0" t="n">
        <v>0</v>
      </c>
      <c r="J42" s="0" t="n">
        <v>0</v>
      </c>
      <c r="K42" s="0" t="n">
        <v>0</v>
      </c>
      <c r="L42" s="0" t="n">
        <v>-16.6674401394335</v>
      </c>
      <c r="M42" s="0" t="n">
        <v>16.6674401394336</v>
      </c>
      <c r="N42" s="0" t="n">
        <v>0</v>
      </c>
    </row>
    <row r="43" customFormat="false" ht="13.8" hidden="false" customHeight="false" outlineLevel="0" collapsed="false">
      <c r="F43" s="2" t="s">
        <v>18</v>
      </c>
      <c r="G43" s="0" t="n">
        <v>0</v>
      </c>
      <c r="H43" s="0" t="n">
        <v>-2.91038304567337E-014</v>
      </c>
      <c r="I43" s="0" t="n">
        <v>0</v>
      </c>
      <c r="J43" s="0" t="n">
        <v>0</v>
      </c>
      <c r="K43" s="0" t="n">
        <v>3.37996561818509</v>
      </c>
      <c r="L43" s="0" t="n">
        <v>0</v>
      </c>
      <c r="M43" s="0" t="n">
        <v>0</v>
      </c>
      <c r="N43" s="0" t="n">
        <v>-3.379965618185</v>
      </c>
    </row>
    <row r="44" customFormat="false" ht="13.8" hidden="false" customHeight="false" outlineLevel="0" collapsed="false">
      <c r="F44" s="2" t="s">
        <v>19</v>
      </c>
      <c r="G44" s="0" t="n">
        <v>0</v>
      </c>
      <c r="H44" s="0" t="n">
        <v>-0.009612711151025</v>
      </c>
      <c r="I44" s="0" t="n">
        <v>0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-0.0658232717082137</v>
      </c>
    </row>
    <row r="45" customFormat="false" ht="13.8" hidden="false" customHeight="false" outlineLevel="0" collapsed="false">
      <c r="F45" s="2" t="s">
        <v>20</v>
      </c>
      <c r="G45" s="0" t="n">
        <v>0</v>
      </c>
      <c r="H45" s="0" t="n">
        <v>-0.226906066899624</v>
      </c>
      <c r="I45" s="0" t="n">
        <v>4.914</v>
      </c>
      <c r="J45" s="0" t="n">
        <v>0</v>
      </c>
      <c r="K45" s="0" t="n">
        <v>26.767638</v>
      </c>
      <c r="L45" s="0" t="n">
        <v>0</v>
      </c>
      <c r="M45" s="0" t="n">
        <v>0</v>
      </c>
      <c r="N45" s="0" t="n">
        <v>-60.0827241307501</v>
      </c>
    </row>
    <row r="46" customFormat="false" ht="13.8" hidden="false" customHeight="false" outlineLevel="0" collapsed="false">
      <c r="F46" s="2" t="s">
        <v>21</v>
      </c>
      <c r="G46" s="0" t="n">
        <v>0</v>
      </c>
      <c r="H46" s="0" t="n">
        <v>-1.00271788512082</v>
      </c>
      <c r="I46" s="0" t="n">
        <v>0</v>
      </c>
      <c r="J46" s="0" t="n">
        <v>-33.088</v>
      </c>
      <c r="K46" s="0" t="n">
        <v>0</v>
      </c>
      <c r="L46" s="0" t="n">
        <v>0</v>
      </c>
      <c r="M46" s="0" t="n">
        <v>0</v>
      </c>
      <c r="N46" s="0" t="n">
        <v>-92.4188998783429</v>
      </c>
    </row>
    <row r="47" customFormat="false" ht="13.8" hidden="false" customHeight="false" outlineLevel="0" collapsed="false">
      <c r="F47" s="2" t="s">
        <v>22</v>
      </c>
      <c r="G47" s="0" t="n">
        <v>0</v>
      </c>
      <c r="H47" s="0" t="n">
        <v>-1.40093492954072</v>
      </c>
      <c r="I47" s="0" t="n">
        <v>0</v>
      </c>
      <c r="J47" s="0" t="n">
        <v>-88.6114174587338</v>
      </c>
      <c r="K47" s="0" t="n">
        <v>9.56035935</v>
      </c>
      <c r="L47" s="0" t="n">
        <v>0</v>
      </c>
      <c r="M47" s="0" t="n">
        <v>0</v>
      </c>
      <c r="N47" s="0" t="n">
        <v>-96.2993595381543</v>
      </c>
    </row>
    <row r="48" customFormat="false" ht="13.8" hidden="false" customHeight="false" outlineLevel="0" collapsed="false">
      <c r="F48" s="2" t="s">
        <v>23</v>
      </c>
      <c r="G48" s="0" t="n">
        <v>0</v>
      </c>
      <c r="H48" s="0" t="n">
        <v>-1.36329489784145</v>
      </c>
      <c r="I48" s="0" t="n">
        <v>0</v>
      </c>
      <c r="J48" s="0" t="n">
        <v>-122.874977725217</v>
      </c>
      <c r="K48" s="0" t="n">
        <v>0</v>
      </c>
      <c r="L48" s="0" t="n">
        <v>0</v>
      </c>
      <c r="M48" s="0" t="n">
        <v>0</v>
      </c>
      <c r="N48" s="0" t="n">
        <v>-47.7641609467987</v>
      </c>
    </row>
    <row r="49" customFormat="false" ht="13.8" hidden="false" customHeight="false" outlineLevel="0" collapsed="false">
      <c r="F49" s="2" t="s">
        <v>24</v>
      </c>
      <c r="G49" s="0" t="n">
        <v>0</v>
      </c>
      <c r="H49" s="0" t="n">
        <v>-1.07200181024893</v>
      </c>
      <c r="I49" s="0" t="n">
        <v>35.3792</v>
      </c>
      <c r="J49" s="0" t="n">
        <v>0</v>
      </c>
      <c r="K49" s="0" t="n">
        <v>0</v>
      </c>
      <c r="L49" s="0" t="n">
        <v>-233.499248966667</v>
      </c>
      <c r="M49" s="0" t="n">
        <v>63.9411080454085</v>
      </c>
      <c r="N49" s="0" t="n">
        <v>0</v>
      </c>
    </row>
    <row r="50" customFormat="false" ht="13.8" hidden="false" customHeight="false" outlineLevel="0" collapsed="false">
      <c r="F50" s="2" t="s">
        <v>25</v>
      </c>
      <c r="G50" s="0" t="n">
        <v>0</v>
      </c>
      <c r="H50" s="0" t="n">
        <v>-0.420681326853386</v>
      </c>
      <c r="I50" s="0" t="n">
        <v>0</v>
      </c>
      <c r="J50" s="0" t="n">
        <v>-77.680064100181</v>
      </c>
      <c r="K50" s="0" t="n">
        <v>0</v>
      </c>
      <c r="L50" s="0" t="n">
        <v>0</v>
      </c>
      <c r="M50" s="0" t="n">
        <v>25.0247659813935</v>
      </c>
      <c r="N50" s="0" t="n">
        <v>0</v>
      </c>
    </row>
    <row r="51" customFormat="false" ht="13.8" hidden="false" customHeight="false" outlineLevel="0" collapsed="false">
      <c r="F51" s="2" t="s">
        <v>26</v>
      </c>
      <c r="G51" s="0" t="n">
        <v>0</v>
      </c>
      <c r="H51" s="0" t="n">
        <v>-0.190717062268766</v>
      </c>
      <c r="I51" s="0" t="n">
        <v>0.4758</v>
      </c>
      <c r="J51" s="0" t="n">
        <v>0</v>
      </c>
      <c r="K51" s="0" t="n">
        <v>0</v>
      </c>
      <c r="L51" s="0" t="n">
        <v>0</v>
      </c>
      <c r="M51" s="0" t="n">
        <v>0</v>
      </c>
      <c r="N51" s="0" t="n">
        <v>-1.78173968880252</v>
      </c>
    </row>
    <row r="52" customFormat="false" ht="13.8" hidden="false" customHeight="false" outlineLevel="0" collapsed="false">
      <c r="F52" s="2" t="s">
        <v>27</v>
      </c>
      <c r="G52" s="0" t="n">
        <v>0</v>
      </c>
      <c r="H52" s="0" t="n">
        <v>0</v>
      </c>
      <c r="I52" s="0" t="n">
        <v>0</v>
      </c>
      <c r="J52" s="0" t="n">
        <v>0</v>
      </c>
      <c r="K52" s="0" t="n">
        <v>0</v>
      </c>
      <c r="L52" s="0" t="n">
        <v>-53.830045527586</v>
      </c>
      <c r="M52" s="0" t="n">
        <v>53.8300455275862</v>
      </c>
      <c r="N52" s="0" t="n">
        <v>0</v>
      </c>
    </row>
    <row r="53" customFormat="false" ht="13.8" hidden="false" customHeight="false" outlineLevel="0" collapsed="false">
      <c r="F53" s="2" t="s">
        <v>28</v>
      </c>
      <c r="G53" s="0" t="n">
        <v>0</v>
      </c>
      <c r="H53" s="0" t="n">
        <v>-6.50288711767644E-014</v>
      </c>
      <c r="I53" s="0" t="n">
        <v>0</v>
      </c>
      <c r="J53" s="0" t="n">
        <v>0</v>
      </c>
      <c r="K53" s="0" t="n">
        <v>0</v>
      </c>
      <c r="L53" s="0" t="n">
        <v>-11.0806675120603</v>
      </c>
      <c r="M53" s="0" t="n">
        <v>11.0806675120605</v>
      </c>
      <c r="N53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4:N55"/>
  <sheetViews>
    <sheetView showFormulas="false" showGridLines="true" showRowColHeaders="true" showZeros="true" rightToLeft="false" tabSelected="false" showOutlineSymbols="true" defaultGridColor="true" view="normal" topLeftCell="F31" colorId="64" zoomScale="150" zoomScaleNormal="150" zoomScalePageLayoutView="100" workbookViewId="0">
      <selection pane="topLeft" activeCell="F31" activeCellId="0" sqref="F30:M54"/>
    </sheetView>
  </sheetViews>
  <sheetFormatPr defaultColWidth="11.53515625" defaultRowHeight="13.8" zeroHeight="false" outlineLevelRow="0" outlineLevelCol="0"/>
  <sheetData>
    <row r="4" customFormat="false" ht="13.8" hidden="false" customHeight="false" outlineLevel="0" collapsed="false">
      <c r="B4" s="0" t="s">
        <v>48</v>
      </c>
      <c r="C4" s="0" t="s">
        <v>39</v>
      </c>
      <c r="D4" s="0" t="s">
        <v>49</v>
      </c>
      <c r="E4" s="0" t="s">
        <v>40</v>
      </c>
      <c r="F4" s="0" t="s">
        <v>50</v>
      </c>
      <c r="G4" s="0" t="s">
        <v>51</v>
      </c>
      <c r="H4" s="0" t="s">
        <v>52</v>
      </c>
      <c r="I4" s="0" t="s">
        <v>41</v>
      </c>
      <c r="J4" s="0" t="s">
        <v>53</v>
      </c>
      <c r="K4" s="0" t="s">
        <v>42</v>
      </c>
      <c r="L4" s="0" t="s">
        <v>54</v>
      </c>
      <c r="M4" s="0" t="s">
        <v>43</v>
      </c>
      <c r="N4" s="0" t="s">
        <v>55</v>
      </c>
    </row>
    <row r="5" customFormat="false" ht="13.8" hidden="false" customHeight="false" outlineLevel="0" collapsed="false">
      <c r="B5" s="2" t="s">
        <v>5</v>
      </c>
      <c r="C5" s="0" t="n">
        <v>0</v>
      </c>
      <c r="D5" s="0" t="n">
        <v>0</v>
      </c>
      <c r="E5" s="0" t="n">
        <v>0</v>
      </c>
      <c r="F5" s="0" t="n">
        <v>-8.73114913702011E-014</v>
      </c>
      <c r="G5" s="0" t="n">
        <f aca="false">C5+E5</f>
        <v>0</v>
      </c>
      <c r="H5" s="0" t="n">
        <f aca="false">D5+F5</f>
        <v>-8.73114913702011E-014</v>
      </c>
      <c r="I5" s="0" t="n">
        <v>0</v>
      </c>
      <c r="J5" s="0" t="n">
        <v>0</v>
      </c>
      <c r="K5" s="0" t="n">
        <v>0</v>
      </c>
      <c r="L5" s="0" t="n">
        <v>0</v>
      </c>
      <c r="M5" s="0" t="n">
        <v>0</v>
      </c>
      <c r="N5" s="0" t="n">
        <v>0</v>
      </c>
    </row>
    <row r="6" customFormat="false" ht="13.8" hidden="false" customHeight="false" outlineLevel="0" collapsed="false">
      <c r="B6" s="2" t="s">
        <v>6</v>
      </c>
      <c r="C6" s="0" t="n">
        <v>0</v>
      </c>
      <c r="D6" s="0" t="n">
        <v>-1.81898940354586E-015</v>
      </c>
      <c r="E6" s="0" t="n">
        <v>2.61934474110603E-013</v>
      </c>
      <c r="F6" s="0" t="n">
        <v>0</v>
      </c>
      <c r="G6" s="0" t="n">
        <f aca="false">C6+E6</f>
        <v>2.61934474110603E-013</v>
      </c>
      <c r="H6" s="0" t="n">
        <f aca="false">D6+F6</f>
        <v>-1.81898940354586E-015</v>
      </c>
      <c r="I6" s="0" t="n">
        <v>0</v>
      </c>
      <c r="J6" s="0" t="n">
        <v>0</v>
      </c>
      <c r="K6" s="0" t="n">
        <v>0</v>
      </c>
      <c r="L6" s="0" t="n">
        <v>0</v>
      </c>
      <c r="M6" s="0" t="n">
        <v>0</v>
      </c>
      <c r="N6" s="0" t="n">
        <v>0</v>
      </c>
    </row>
    <row r="7" customFormat="false" ht="13.8" hidden="false" customHeight="false" outlineLevel="0" collapsed="false">
      <c r="B7" s="2" t="s">
        <v>7</v>
      </c>
      <c r="C7" s="0" t="n">
        <v>0</v>
      </c>
      <c r="D7" s="0" t="n">
        <v>-0.000129651031120375</v>
      </c>
      <c r="E7" s="0" t="n">
        <v>0</v>
      </c>
      <c r="F7" s="0" t="n">
        <v>-0.0162279931599624</v>
      </c>
      <c r="G7" s="0" t="n">
        <f aca="false">C7+E7</f>
        <v>0</v>
      </c>
      <c r="H7" s="0" t="n">
        <f aca="false">D7+F7</f>
        <v>-0.0163576441910827</v>
      </c>
      <c r="I7" s="0" t="n">
        <v>0</v>
      </c>
      <c r="J7" s="0" t="n">
        <v>0</v>
      </c>
      <c r="K7" s="0" t="n">
        <v>0</v>
      </c>
      <c r="L7" s="0" t="n">
        <v>0</v>
      </c>
      <c r="M7" s="0" t="n">
        <v>0</v>
      </c>
      <c r="N7" s="0" t="n">
        <v>0</v>
      </c>
    </row>
    <row r="8" customFormat="false" ht="13.8" hidden="false" customHeight="false" outlineLevel="0" collapsed="false">
      <c r="B8" s="2" t="s">
        <v>8</v>
      </c>
      <c r="C8" s="0" t="n">
        <v>0</v>
      </c>
      <c r="D8" s="0" t="n">
        <v>-0.488265783172748</v>
      </c>
      <c r="E8" s="0" t="n">
        <v>0</v>
      </c>
      <c r="F8" s="0" t="n">
        <v>-61.1146222402309</v>
      </c>
      <c r="G8" s="0" t="n">
        <f aca="false">C8+E8</f>
        <v>0</v>
      </c>
      <c r="H8" s="0" t="n">
        <f aca="false">D8+F8</f>
        <v>-61.6028880234036</v>
      </c>
      <c r="I8" s="0" t="n">
        <v>0</v>
      </c>
      <c r="J8" s="0" t="n">
        <v>0</v>
      </c>
      <c r="K8" s="0" t="n">
        <v>0</v>
      </c>
      <c r="L8" s="0" t="n">
        <v>0</v>
      </c>
      <c r="M8" s="0" t="n">
        <v>0</v>
      </c>
      <c r="N8" s="0" t="n">
        <v>0</v>
      </c>
    </row>
    <row r="9" customFormat="false" ht="13.8" hidden="false" customHeight="false" outlineLevel="0" collapsed="false">
      <c r="B9" s="2" t="s">
        <v>9</v>
      </c>
      <c r="C9" s="0" t="n">
        <v>0</v>
      </c>
      <c r="D9" s="0" t="n">
        <v>-2.69337052034801</v>
      </c>
      <c r="E9" s="0" t="n">
        <v>0</v>
      </c>
      <c r="F9" s="0" t="n">
        <v>0</v>
      </c>
      <c r="G9" s="0" t="n">
        <f aca="false">C9+E9</f>
        <v>0</v>
      </c>
      <c r="H9" s="0" t="n">
        <f aca="false">D9+F9</f>
        <v>-2.69337052034801</v>
      </c>
      <c r="I9" s="0" t="n">
        <v>0</v>
      </c>
      <c r="J9" s="0" t="n">
        <v>-33.2416</v>
      </c>
      <c r="K9" s="0" t="n">
        <v>0</v>
      </c>
      <c r="L9" s="0" t="n">
        <v>-184.448333333333</v>
      </c>
      <c r="M9" s="0" t="n">
        <v>0</v>
      </c>
      <c r="N9" s="0" t="n">
        <v>-119.430396570691</v>
      </c>
    </row>
    <row r="10" customFormat="false" ht="13.8" hidden="false" customHeight="false" outlineLevel="0" collapsed="false">
      <c r="B10" s="2" t="s">
        <v>10</v>
      </c>
      <c r="C10" s="0" t="n">
        <v>0</v>
      </c>
      <c r="D10" s="0" t="n">
        <v>-3.87959084814604</v>
      </c>
      <c r="E10" s="0" t="n">
        <v>0</v>
      </c>
      <c r="F10" s="0" t="n">
        <v>0</v>
      </c>
      <c r="G10" s="0" t="n">
        <f aca="false">C10+E10</f>
        <v>0</v>
      </c>
      <c r="H10" s="0" t="n">
        <f aca="false">D10+F10</f>
        <v>-3.87959084814604</v>
      </c>
      <c r="I10" s="0" t="n">
        <v>0</v>
      </c>
      <c r="J10" s="0" t="n">
        <v>-297.88561231812</v>
      </c>
      <c r="K10" s="0" t="n">
        <v>0</v>
      </c>
      <c r="L10" s="0" t="n">
        <v>-265.987983933333</v>
      </c>
      <c r="M10" s="0" t="n">
        <v>78.2779692336588</v>
      </c>
      <c r="N10" s="0" t="n">
        <v>0</v>
      </c>
    </row>
    <row r="11" customFormat="false" ht="13.8" hidden="false" customHeight="false" outlineLevel="0" collapsed="false">
      <c r="B11" s="2" t="s">
        <v>11</v>
      </c>
      <c r="C11" s="0" t="n">
        <v>0</v>
      </c>
      <c r="D11" s="0" t="n">
        <v>-3.93525470324011</v>
      </c>
      <c r="E11" s="0" t="n">
        <v>0</v>
      </c>
      <c r="F11" s="0" t="n">
        <v>0</v>
      </c>
      <c r="G11" s="0" t="n">
        <f aca="false">C11+E11</f>
        <v>0</v>
      </c>
      <c r="H11" s="0" t="n">
        <f aca="false">D11+F11</f>
        <v>-3.93525470324011</v>
      </c>
      <c r="I11" s="0" t="n">
        <v>0</v>
      </c>
      <c r="J11" s="0" t="n">
        <v>-150.466325921298</v>
      </c>
      <c r="K11" s="0" t="n">
        <v>56.987451</v>
      </c>
      <c r="L11" s="0" t="n">
        <v>0</v>
      </c>
      <c r="M11" s="0" t="n">
        <v>0</v>
      </c>
      <c r="N11" s="0" t="n">
        <v>-399.084013767801</v>
      </c>
    </row>
    <row r="12" customFormat="false" ht="13.8" hidden="false" customHeight="false" outlineLevel="0" collapsed="false">
      <c r="B12" s="2" t="s">
        <v>12</v>
      </c>
      <c r="C12" s="0" t="n">
        <v>0</v>
      </c>
      <c r="D12" s="0" t="n">
        <v>-3.02895043301159</v>
      </c>
      <c r="E12" s="0" t="n">
        <v>0</v>
      </c>
      <c r="F12" s="0" t="n">
        <v>0</v>
      </c>
      <c r="G12" s="0" t="n">
        <f aca="false">C12+E12</f>
        <v>0</v>
      </c>
      <c r="H12" s="0" t="n">
        <f aca="false">D12+F12</f>
        <v>-3.02895043301159</v>
      </c>
      <c r="I12" s="0" t="n">
        <v>0</v>
      </c>
      <c r="J12" s="0" t="n">
        <v>-101.271794054584</v>
      </c>
      <c r="K12" s="0" t="n">
        <v>0</v>
      </c>
      <c r="L12" s="0" t="n">
        <v>-352.0075</v>
      </c>
      <c r="M12" s="0" t="n">
        <v>74.1555301589766</v>
      </c>
      <c r="N12" s="0" t="n">
        <v>0</v>
      </c>
    </row>
    <row r="13" customFormat="false" ht="13.8" hidden="false" customHeight="false" outlineLevel="0" collapsed="false">
      <c r="B13" s="2" t="s">
        <v>13</v>
      </c>
      <c r="C13" s="0" t="n">
        <v>0</v>
      </c>
      <c r="D13" s="0" t="n">
        <v>-0.956651914442826</v>
      </c>
      <c r="E13" s="0" t="n">
        <v>0</v>
      </c>
      <c r="F13" s="0" t="n">
        <v>-114.858719166776</v>
      </c>
      <c r="G13" s="0" t="n">
        <f aca="false">C13+E13</f>
        <v>0</v>
      </c>
      <c r="H13" s="0" t="n">
        <f aca="false">D13+F13</f>
        <v>-115.815371081219</v>
      </c>
      <c r="I13" s="0" t="n">
        <v>0</v>
      </c>
      <c r="J13" s="0" t="n">
        <v>-4.88225466648987</v>
      </c>
      <c r="K13" s="0" t="n">
        <v>0</v>
      </c>
      <c r="L13" s="0" t="n">
        <v>0</v>
      </c>
      <c r="M13" s="0" t="n">
        <v>0</v>
      </c>
      <c r="N13" s="0" t="n">
        <v>0</v>
      </c>
    </row>
    <row r="14" customFormat="false" ht="13.8" hidden="false" customHeight="false" outlineLevel="0" collapsed="false">
      <c r="B14" s="2" t="s">
        <v>14</v>
      </c>
      <c r="C14" s="0" t="n">
        <v>0</v>
      </c>
      <c r="D14" s="0" t="n">
        <v>-0.00125346616880233</v>
      </c>
      <c r="E14" s="0" t="n">
        <v>0</v>
      </c>
      <c r="F14" s="0" t="n">
        <v>-0.156892237869499</v>
      </c>
      <c r="G14" s="0" t="n">
        <f aca="false">C14+E14</f>
        <v>0</v>
      </c>
      <c r="H14" s="0" t="n">
        <f aca="false">D14+F14</f>
        <v>-0.158145704038301</v>
      </c>
      <c r="I14" s="0" t="n">
        <v>0</v>
      </c>
      <c r="J14" s="0" t="n">
        <v>0</v>
      </c>
      <c r="K14" s="0" t="n">
        <v>0</v>
      </c>
      <c r="L14" s="0" t="n">
        <v>0</v>
      </c>
      <c r="M14" s="0" t="n">
        <v>0</v>
      </c>
      <c r="N14" s="0" t="n">
        <v>0</v>
      </c>
    </row>
    <row r="15" customFormat="false" ht="13.8" hidden="false" customHeight="false" outlineLevel="0" collapsed="false">
      <c r="B15" s="2" t="s">
        <v>15</v>
      </c>
      <c r="C15" s="0" t="n">
        <v>0</v>
      </c>
      <c r="D15" s="0" t="n">
        <v>-0.000172695173449029</v>
      </c>
      <c r="E15" s="0" t="n">
        <v>0</v>
      </c>
      <c r="F15" s="0" t="n">
        <v>-0.0216156868890976</v>
      </c>
      <c r="G15" s="0" t="n">
        <f aca="false">C15+E15</f>
        <v>0</v>
      </c>
      <c r="H15" s="0" t="n">
        <f aca="false">D15+F15</f>
        <v>-0.0217883820625466</v>
      </c>
      <c r="I15" s="0" t="n">
        <v>0</v>
      </c>
      <c r="J15" s="0" t="n">
        <v>0</v>
      </c>
      <c r="K15" s="0" t="n">
        <v>0</v>
      </c>
      <c r="L15" s="0" t="n">
        <v>0</v>
      </c>
      <c r="M15" s="0" t="n">
        <v>0</v>
      </c>
      <c r="N15" s="0" t="n">
        <v>0</v>
      </c>
    </row>
    <row r="16" customFormat="false" ht="13.8" hidden="false" customHeight="false" outlineLevel="0" collapsed="false">
      <c r="B16" s="2" t="s">
        <v>16</v>
      </c>
      <c r="C16" s="0" t="n">
        <v>0</v>
      </c>
      <c r="D16" s="0" t="n">
        <v>-9.09494701772928E-015</v>
      </c>
      <c r="E16" s="0" t="n">
        <v>0</v>
      </c>
      <c r="F16" s="0" t="n">
        <v>0</v>
      </c>
      <c r="G16" s="0" t="n">
        <f aca="false">C16+E16</f>
        <v>0</v>
      </c>
      <c r="H16" s="0" t="n">
        <f aca="false">D16+F16</f>
        <v>-9.09494701772928E-015</v>
      </c>
      <c r="I16" s="0" t="n">
        <v>0</v>
      </c>
      <c r="J16" s="0" t="n">
        <v>0</v>
      </c>
      <c r="K16" s="0" t="n">
        <v>0</v>
      </c>
      <c r="L16" s="0" t="n">
        <v>0</v>
      </c>
      <c r="M16" s="0" t="n">
        <v>0</v>
      </c>
      <c r="N16" s="0" t="n">
        <v>0</v>
      </c>
    </row>
    <row r="17" customFormat="false" ht="13.8" hidden="false" customHeight="false" outlineLevel="0" collapsed="false">
      <c r="B17" s="2" t="s">
        <v>17</v>
      </c>
      <c r="C17" s="0" t="n">
        <v>1.61890056915581E-013</v>
      </c>
      <c r="D17" s="0" t="n">
        <v>0</v>
      </c>
      <c r="E17" s="0" t="n">
        <v>1.60071067512035E-013</v>
      </c>
      <c r="F17" s="0" t="n">
        <v>0</v>
      </c>
      <c r="G17" s="0" t="n">
        <f aca="false">C17+E17</f>
        <v>3.21961124427617E-013</v>
      </c>
      <c r="H17" s="0" t="n">
        <f aca="false">D17+F17</f>
        <v>0</v>
      </c>
      <c r="I17" s="0" t="n">
        <v>0</v>
      </c>
      <c r="J17" s="0" t="n">
        <v>0</v>
      </c>
      <c r="K17" s="0" t="n">
        <v>0</v>
      </c>
      <c r="L17" s="0" t="n">
        <v>0</v>
      </c>
      <c r="M17" s="0" t="n">
        <v>0</v>
      </c>
      <c r="N17" s="0" t="n">
        <v>0</v>
      </c>
    </row>
    <row r="18" customFormat="false" ht="13.8" hidden="false" customHeight="false" outlineLevel="0" collapsed="false">
      <c r="B18" s="2" t="s">
        <v>18</v>
      </c>
      <c r="C18" s="0" t="n">
        <v>0</v>
      </c>
      <c r="D18" s="0" t="n">
        <v>-3.63797880709171E-015</v>
      </c>
      <c r="E18" s="0" t="n">
        <v>2.91038304567337E-013</v>
      </c>
      <c r="F18" s="0" t="n">
        <v>0</v>
      </c>
      <c r="G18" s="0" t="n">
        <f aca="false">C18+E18</f>
        <v>2.91038304567337E-013</v>
      </c>
      <c r="H18" s="0" t="n">
        <f aca="false">D18+F18</f>
        <v>-3.63797880709171E-015</v>
      </c>
      <c r="I18" s="0" t="n">
        <v>0</v>
      </c>
      <c r="J18" s="0" t="n">
        <v>0</v>
      </c>
      <c r="K18" s="0" t="n">
        <v>0</v>
      </c>
      <c r="L18" s="0" t="n">
        <v>0</v>
      </c>
      <c r="M18" s="0" t="n">
        <v>0</v>
      </c>
      <c r="N18" s="0" t="n">
        <v>0</v>
      </c>
    </row>
    <row r="19" customFormat="false" ht="13.8" hidden="false" customHeight="false" outlineLevel="0" collapsed="false">
      <c r="B19" s="2" t="s">
        <v>19</v>
      </c>
      <c r="C19" s="0" t="n">
        <v>0</v>
      </c>
      <c r="D19" s="0" t="n">
        <v>-0.0016253568999291</v>
      </c>
      <c r="E19" s="0" t="n">
        <v>0</v>
      </c>
      <c r="F19" s="0" t="n">
        <v>-0.203440577587287</v>
      </c>
      <c r="G19" s="0" t="n">
        <f aca="false">C19+E19</f>
        <v>0</v>
      </c>
      <c r="H19" s="0" t="n">
        <f aca="false">D19+F19</f>
        <v>-0.205065934487216</v>
      </c>
      <c r="I19" s="0" t="n">
        <v>0</v>
      </c>
      <c r="J19" s="0" t="n">
        <v>0</v>
      </c>
      <c r="K19" s="0" t="n">
        <v>0</v>
      </c>
      <c r="L19" s="0" t="n">
        <v>0</v>
      </c>
      <c r="M19" s="0" t="n">
        <v>0</v>
      </c>
      <c r="N19" s="0" t="n">
        <v>0</v>
      </c>
    </row>
    <row r="20" customFormat="false" ht="13.8" hidden="false" customHeight="false" outlineLevel="0" collapsed="false">
      <c r="B20" s="2" t="s">
        <v>20</v>
      </c>
      <c r="C20" s="0" t="n">
        <v>0</v>
      </c>
      <c r="D20" s="0" t="n">
        <v>-0.61682373432122</v>
      </c>
      <c r="E20" s="0" t="n">
        <v>0</v>
      </c>
      <c r="F20" s="0" t="n">
        <v>-77.2057981760448</v>
      </c>
      <c r="G20" s="0" t="n">
        <f aca="false">C20+E20</f>
        <v>0</v>
      </c>
      <c r="H20" s="0" t="n">
        <f aca="false">D20+F20</f>
        <v>-77.8226219103661</v>
      </c>
      <c r="I20" s="0" t="n">
        <v>0</v>
      </c>
      <c r="J20" s="0" t="n">
        <v>0</v>
      </c>
      <c r="K20" s="0" t="n">
        <v>0</v>
      </c>
      <c r="L20" s="0" t="n">
        <v>0</v>
      </c>
      <c r="M20" s="0" t="n">
        <v>0</v>
      </c>
      <c r="N20" s="0" t="n">
        <v>0</v>
      </c>
    </row>
    <row r="21" customFormat="false" ht="13.8" hidden="false" customHeight="false" outlineLevel="0" collapsed="false">
      <c r="B21" s="2" t="s">
        <v>21</v>
      </c>
      <c r="C21" s="0" t="n">
        <v>0</v>
      </c>
      <c r="D21" s="0" t="n">
        <v>-2.72579838354591</v>
      </c>
      <c r="E21" s="0" t="n">
        <v>0</v>
      </c>
      <c r="F21" s="0" t="n">
        <v>0</v>
      </c>
      <c r="G21" s="0" t="n">
        <f aca="false">C21+E21</f>
        <v>0</v>
      </c>
      <c r="H21" s="0" t="n">
        <f aca="false">D21+F21</f>
        <v>-2.72579838354591</v>
      </c>
      <c r="I21" s="0" t="n">
        <v>0</v>
      </c>
      <c r="J21" s="0" t="n">
        <v>0</v>
      </c>
      <c r="K21" s="0" t="n">
        <v>151.401006663091</v>
      </c>
      <c r="L21" s="0" t="n">
        <v>0</v>
      </c>
      <c r="M21" s="0" t="n">
        <v>0</v>
      </c>
      <c r="N21" s="0" t="n">
        <v>-492.580225552783</v>
      </c>
    </row>
    <row r="22" customFormat="false" ht="13.8" hidden="false" customHeight="false" outlineLevel="0" collapsed="false">
      <c r="B22" s="2" t="s">
        <v>22</v>
      </c>
      <c r="C22" s="0" t="n">
        <v>0</v>
      </c>
      <c r="D22" s="0" t="n">
        <v>-3.8083156020848</v>
      </c>
      <c r="E22" s="0" t="n">
        <v>0</v>
      </c>
      <c r="F22" s="0" t="n">
        <v>0</v>
      </c>
      <c r="G22" s="0" t="n">
        <f aca="false">C22+E22</f>
        <v>0</v>
      </c>
      <c r="H22" s="0" t="n">
        <f aca="false">D22+F22</f>
        <v>-3.8083156020848</v>
      </c>
      <c r="I22" s="0" t="n">
        <v>0</v>
      </c>
      <c r="J22" s="0" t="n">
        <v>-109.959934459614</v>
      </c>
      <c r="K22" s="0" t="n">
        <v>0</v>
      </c>
      <c r="L22" s="0" t="n">
        <v>-202.9248126</v>
      </c>
      <c r="M22" s="0" t="n">
        <v>0</v>
      </c>
      <c r="N22" s="0" t="n">
        <v>-163.789591823248</v>
      </c>
    </row>
    <row r="23" customFormat="false" ht="13.8" hidden="false" customHeight="false" outlineLevel="0" collapsed="false">
      <c r="B23" s="2" t="s">
        <v>23</v>
      </c>
      <c r="C23" s="0" t="n">
        <v>0</v>
      </c>
      <c r="D23" s="0" t="n">
        <v>-3.70599456135646</v>
      </c>
      <c r="E23" s="0" t="n">
        <v>0</v>
      </c>
      <c r="F23" s="0" t="n">
        <v>0</v>
      </c>
      <c r="G23" s="0" t="n">
        <f aca="false">C23+E23</f>
        <v>0</v>
      </c>
      <c r="H23" s="0" t="n">
        <f aca="false">D23+F23</f>
        <v>-3.70599456135646</v>
      </c>
      <c r="I23" s="0" t="n">
        <v>0</v>
      </c>
      <c r="J23" s="0" t="n">
        <v>-472.640186512862</v>
      </c>
      <c r="K23" s="0" t="n">
        <v>0</v>
      </c>
      <c r="L23" s="0" t="n">
        <v>-11.5897266</v>
      </c>
      <c r="M23" s="0" t="n">
        <v>20.3627623780334</v>
      </c>
      <c r="N23" s="0" t="n">
        <v>0</v>
      </c>
    </row>
    <row r="24" customFormat="false" ht="13.8" hidden="false" customHeight="false" outlineLevel="0" collapsed="false">
      <c r="B24" s="2" t="s">
        <v>24</v>
      </c>
      <c r="C24" s="0" t="n">
        <v>0</v>
      </c>
      <c r="D24" s="0" t="n">
        <v>-2.91414050242331</v>
      </c>
      <c r="E24" s="0" t="n">
        <v>0</v>
      </c>
      <c r="F24" s="0" t="n">
        <v>0</v>
      </c>
      <c r="G24" s="0" t="n">
        <f aca="false">C24+E24</f>
        <v>0</v>
      </c>
      <c r="H24" s="0" t="n">
        <f aca="false">D24+F24</f>
        <v>-2.91414050242331</v>
      </c>
      <c r="I24" s="0" t="n">
        <v>0</v>
      </c>
      <c r="J24" s="0" t="n">
        <v>-60.5555556628763</v>
      </c>
      <c r="K24" s="0" t="n">
        <v>0</v>
      </c>
      <c r="L24" s="0" t="n">
        <v>-411.390762166667</v>
      </c>
      <c r="M24" s="0" t="n">
        <v>107.192935351482</v>
      </c>
      <c r="N24" s="0" t="n">
        <v>0</v>
      </c>
    </row>
    <row r="25" customFormat="false" ht="13.8" hidden="false" customHeight="false" outlineLevel="0" collapsed="false">
      <c r="B25" s="2" t="s">
        <v>25</v>
      </c>
      <c r="C25" s="0" t="n">
        <v>0</v>
      </c>
      <c r="D25" s="0" t="n">
        <v>-1.1435843498361</v>
      </c>
      <c r="E25" s="0" t="n">
        <v>0</v>
      </c>
      <c r="F25" s="0" t="n">
        <v>0</v>
      </c>
      <c r="G25" s="0" t="n">
        <f aca="false">C25+E25</f>
        <v>0</v>
      </c>
      <c r="H25" s="0" t="n">
        <f aca="false">D25+F25</f>
        <v>-1.1435843498361</v>
      </c>
      <c r="I25" s="0" t="n">
        <v>13.8816</v>
      </c>
      <c r="J25" s="0" t="n">
        <v>0</v>
      </c>
      <c r="K25" s="0" t="n">
        <v>0</v>
      </c>
      <c r="L25" s="0" t="n">
        <v>0</v>
      </c>
      <c r="M25" s="0" t="n">
        <v>0</v>
      </c>
      <c r="N25" s="0" t="n">
        <v>-157.020291976184</v>
      </c>
    </row>
    <row r="26" customFormat="false" ht="13.8" hidden="false" customHeight="false" outlineLevel="0" collapsed="false">
      <c r="B26" s="2" t="s">
        <v>26</v>
      </c>
      <c r="C26" s="0" t="n">
        <v>0</v>
      </c>
      <c r="D26" s="0" t="n">
        <v>-0.0322472285104923</v>
      </c>
      <c r="E26" s="0" t="n">
        <v>0</v>
      </c>
      <c r="F26" s="0" t="n">
        <v>-4.03627953592633</v>
      </c>
      <c r="G26" s="0" t="n">
        <f aca="false">C26+E26</f>
        <v>0</v>
      </c>
      <c r="H26" s="0" t="n">
        <f aca="false">D26+F26</f>
        <v>-4.06852676443682</v>
      </c>
      <c r="I26" s="0" t="n">
        <v>0</v>
      </c>
      <c r="J26" s="0" t="n">
        <v>0</v>
      </c>
      <c r="K26" s="0" t="n">
        <v>0</v>
      </c>
      <c r="L26" s="0" t="n">
        <v>0</v>
      </c>
      <c r="M26" s="0" t="n">
        <v>0</v>
      </c>
      <c r="N26" s="0" t="n">
        <v>0</v>
      </c>
    </row>
    <row r="27" customFormat="false" ht="13.8" hidden="false" customHeight="false" outlineLevel="0" collapsed="false">
      <c r="B27" s="2" t="s">
        <v>27</v>
      </c>
      <c r="C27" s="0" t="n">
        <v>0</v>
      </c>
      <c r="D27" s="0" t="n">
        <v>0</v>
      </c>
      <c r="E27" s="0" t="n">
        <v>0</v>
      </c>
      <c r="F27" s="0" t="n">
        <v>0</v>
      </c>
      <c r="G27" s="0" t="n">
        <f aca="false">C27+E27</f>
        <v>0</v>
      </c>
      <c r="H27" s="0" t="n">
        <f aca="false">D27+F27</f>
        <v>0</v>
      </c>
      <c r="I27" s="0" t="n">
        <v>0</v>
      </c>
      <c r="J27" s="0" t="n">
        <v>0</v>
      </c>
      <c r="K27" s="0" t="n">
        <v>0</v>
      </c>
      <c r="L27" s="0" t="n">
        <v>0</v>
      </c>
      <c r="M27" s="0" t="n">
        <v>0</v>
      </c>
      <c r="N27" s="0" t="n">
        <v>0</v>
      </c>
    </row>
    <row r="28" customFormat="false" ht="13.8" hidden="false" customHeight="false" outlineLevel="0" collapsed="false">
      <c r="B28" s="2" t="s">
        <v>28</v>
      </c>
      <c r="C28" s="0" t="n">
        <v>0</v>
      </c>
      <c r="D28" s="0" t="n">
        <v>-3.63797880709171E-015</v>
      </c>
      <c r="E28" s="0" t="n">
        <v>2.03726813197136E-013</v>
      </c>
      <c r="F28" s="0" t="n">
        <v>0</v>
      </c>
      <c r="G28" s="0" t="n">
        <f aca="false">C28+E28</f>
        <v>2.03726813197136E-013</v>
      </c>
      <c r="H28" s="0" t="n">
        <f aca="false">D28+F28</f>
        <v>-3.63797880709171E-015</v>
      </c>
      <c r="I28" s="0" t="n">
        <v>0</v>
      </c>
      <c r="J28" s="0" t="n">
        <v>0</v>
      </c>
      <c r="K28" s="0" t="n">
        <v>0</v>
      </c>
      <c r="L28" s="0" t="n">
        <v>0</v>
      </c>
      <c r="M28" s="0" t="n">
        <v>0</v>
      </c>
      <c r="N28" s="0" t="n">
        <v>0</v>
      </c>
    </row>
    <row r="31" customFormat="false" ht="13.8" hidden="false" customHeight="false" outlineLevel="0" collapsed="false">
      <c r="F31" s="0" t="s">
        <v>48</v>
      </c>
      <c r="G31" s="0" t="s">
        <v>51</v>
      </c>
      <c r="H31" s="0" t="s">
        <v>52</v>
      </c>
      <c r="I31" s="0" t="s">
        <v>41</v>
      </c>
      <c r="J31" s="0" t="s">
        <v>53</v>
      </c>
      <c r="K31" s="0" t="s">
        <v>42</v>
      </c>
      <c r="L31" s="0" t="s">
        <v>54</v>
      </c>
      <c r="M31" s="0" t="s">
        <v>43</v>
      </c>
      <c r="N31" s="0" t="s">
        <v>55</v>
      </c>
    </row>
    <row r="32" customFormat="false" ht="13.8" hidden="false" customHeight="false" outlineLevel="0" collapsed="false">
      <c r="F32" s="2" t="s">
        <v>5</v>
      </c>
      <c r="G32" s="0" t="n">
        <v>0</v>
      </c>
      <c r="H32" s="0" t="n">
        <v>-8.73114913702011E-014</v>
      </c>
      <c r="I32" s="0" t="n">
        <v>0</v>
      </c>
      <c r="J32" s="0" t="n">
        <v>0</v>
      </c>
      <c r="K32" s="0" t="n">
        <v>0</v>
      </c>
      <c r="L32" s="0" t="n">
        <v>0</v>
      </c>
      <c r="M32" s="0" t="n">
        <v>0</v>
      </c>
      <c r="N32" s="0" t="n">
        <v>0</v>
      </c>
    </row>
    <row r="33" customFormat="false" ht="13.8" hidden="false" customHeight="false" outlineLevel="0" collapsed="false">
      <c r="F33" s="2" t="s">
        <v>6</v>
      </c>
      <c r="G33" s="0" t="n">
        <v>2.61934474110603E-013</v>
      </c>
      <c r="H33" s="0" t="n">
        <v>-1.81898940354586E-015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0</v>
      </c>
      <c r="N33" s="0" t="n">
        <v>0</v>
      </c>
    </row>
    <row r="34" customFormat="false" ht="13.8" hidden="false" customHeight="false" outlineLevel="0" collapsed="false">
      <c r="F34" s="2" t="s">
        <v>7</v>
      </c>
      <c r="G34" s="0" t="n">
        <v>0</v>
      </c>
      <c r="H34" s="0" t="n">
        <v>-0.0163576441910827</v>
      </c>
      <c r="I34" s="0" t="n">
        <v>0</v>
      </c>
      <c r="J34" s="0" t="n">
        <v>0</v>
      </c>
      <c r="K34" s="0" t="n">
        <v>0</v>
      </c>
      <c r="L34" s="0" t="n">
        <v>0</v>
      </c>
      <c r="M34" s="0" t="n">
        <v>0</v>
      </c>
      <c r="N34" s="0" t="n">
        <v>0</v>
      </c>
    </row>
    <row r="35" customFormat="false" ht="13.8" hidden="false" customHeight="false" outlineLevel="0" collapsed="false">
      <c r="F35" s="2" t="s">
        <v>8</v>
      </c>
      <c r="G35" s="0" t="n">
        <v>0</v>
      </c>
      <c r="H35" s="0" t="n">
        <v>-61.6028880234036</v>
      </c>
      <c r="I35" s="0" t="n">
        <v>0</v>
      </c>
      <c r="J35" s="0" t="n">
        <v>0</v>
      </c>
      <c r="K35" s="0" t="n">
        <v>0</v>
      </c>
      <c r="L35" s="0" t="n">
        <v>0</v>
      </c>
      <c r="M35" s="0" t="n">
        <v>0</v>
      </c>
      <c r="N35" s="0" t="n">
        <v>0</v>
      </c>
    </row>
    <row r="36" customFormat="false" ht="13.8" hidden="false" customHeight="false" outlineLevel="0" collapsed="false">
      <c r="F36" s="2" t="s">
        <v>9</v>
      </c>
      <c r="G36" s="0" t="n">
        <v>0</v>
      </c>
      <c r="H36" s="0" t="n">
        <v>-2.69337052034801</v>
      </c>
      <c r="I36" s="0" t="n">
        <v>0</v>
      </c>
      <c r="J36" s="0" t="n">
        <v>-33.2416</v>
      </c>
      <c r="K36" s="0" t="n">
        <v>0</v>
      </c>
      <c r="L36" s="0" t="n">
        <v>-184.448333333333</v>
      </c>
      <c r="M36" s="0" t="n">
        <v>0</v>
      </c>
      <c r="N36" s="0" t="n">
        <v>-119.430396570691</v>
      </c>
    </row>
    <row r="37" customFormat="false" ht="13.8" hidden="false" customHeight="false" outlineLevel="0" collapsed="false">
      <c r="F37" s="2" t="s">
        <v>10</v>
      </c>
      <c r="G37" s="0" t="n">
        <v>0</v>
      </c>
      <c r="H37" s="0" t="n">
        <v>-3.87959084814604</v>
      </c>
      <c r="I37" s="0" t="n">
        <v>0</v>
      </c>
      <c r="J37" s="0" t="n">
        <v>-297.88561231812</v>
      </c>
      <c r="K37" s="0" t="n">
        <v>0</v>
      </c>
      <c r="L37" s="0" t="n">
        <v>-265.987983933333</v>
      </c>
      <c r="M37" s="0" t="n">
        <v>78.2779692336588</v>
      </c>
      <c r="N37" s="0" t="n">
        <v>0</v>
      </c>
    </row>
    <row r="38" customFormat="false" ht="13.8" hidden="false" customHeight="false" outlineLevel="0" collapsed="false">
      <c r="F38" s="2" t="s">
        <v>11</v>
      </c>
      <c r="G38" s="0" t="n">
        <v>0</v>
      </c>
      <c r="H38" s="0" t="n">
        <v>-3.93525470324011</v>
      </c>
      <c r="I38" s="0" t="n">
        <v>0</v>
      </c>
      <c r="J38" s="0" t="n">
        <v>-150.466325921298</v>
      </c>
      <c r="K38" s="0" t="n">
        <v>56.987451</v>
      </c>
      <c r="L38" s="0" t="n">
        <v>0</v>
      </c>
      <c r="M38" s="0" t="n">
        <v>0</v>
      </c>
      <c r="N38" s="0" t="n">
        <v>-399.084013767801</v>
      </c>
    </row>
    <row r="39" customFormat="false" ht="13.8" hidden="false" customHeight="false" outlineLevel="0" collapsed="false">
      <c r="F39" s="2" t="s">
        <v>12</v>
      </c>
      <c r="G39" s="0" t="n">
        <v>0</v>
      </c>
      <c r="H39" s="0" t="n">
        <v>-3.02895043301159</v>
      </c>
      <c r="I39" s="0" t="n">
        <v>0</v>
      </c>
      <c r="J39" s="0" t="n">
        <v>-101.271794054584</v>
      </c>
      <c r="K39" s="0" t="n">
        <v>0</v>
      </c>
      <c r="L39" s="0" t="n">
        <v>-352.0075</v>
      </c>
      <c r="M39" s="0" t="n">
        <v>74.1555301589766</v>
      </c>
      <c r="N39" s="0" t="n">
        <v>0</v>
      </c>
    </row>
    <row r="40" customFormat="false" ht="13.8" hidden="false" customHeight="false" outlineLevel="0" collapsed="false">
      <c r="F40" s="2" t="s">
        <v>13</v>
      </c>
      <c r="G40" s="0" t="n">
        <v>0</v>
      </c>
      <c r="H40" s="0" t="n">
        <v>-115.815371081219</v>
      </c>
      <c r="I40" s="0" t="n">
        <v>0</v>
      </c>
      <c r="J40" s="0" t="n">
        <v>-4.88225466648987</v>
      </c>
      <c r="K40" s="0" t="n">
        <v>0</v>
      </c>
      <c r="L40" s="0" t="n">
        <v>0</v>
      </c>
      <c r="M40" s="0" t="n">
        <v>0</v>
      </c>
      <c r="N40" s="0" t="n">
        <v>0</v>
      </c>
    </row>
    <row r="41" customFormat="false" ht="13.8" hidden="false" customHeight="false" outlineLevel="0" collapsed="false">
      <c r="F41" s="2" t="s">
        <v>14</v>
      </c>
      <c r="G41" s="0" t="n">
        <v>0</v>
      </c>
      <c r="H41" s="0" t="n">
        <v>-0.158145704038301</v>
      </c>
      <c r="I41" s="0" t="n">
        <v>0</v>
      </c>
      <c r="J41" s="0" t="n">
        <v>0</v>
      </c>
      <c r="K41" s="0" t="n">
        <v>0</v>
      </c>
      <c r="L41" s="0" t="n">
        <v>0</v>
      </c>
      <c r="M41" s="0" t="n">
        <v>0</v>
      </c>
      <c r="N41" s="0" t="n">
        <v>0</v>
      </c>
    </row>
    <row r="42" customFormat="false" ht="13.8" hidden="false" customHeight="false" outlineLevel="0" collapsed="false">
      <c r="F42" s="2" t="s">
        <v>15</v>
      </c>
      <c r="G42" s="0" t="n">
        <v>0</v>
      </c>
      <c r="H42" s="0" t="n">
        <v>-0.0217883820625466</v>
      </c>
      <c r="I42" s="0" t="n">
        <v>0</v>
      </c>
      <c r="J42" s="0" t="n">
        <v>0</v>
      </c>
      <c r="K42" s="0" t="n">
        <v>0</v>
      </c>
      <c r="L42" s="0" t="n">
        <v>0</v>
      </c>
      <c r="M42" s="0" t="n">
        <v>0</v>
      </c>
      <c r="N42" s="0" t="n">
        <v>0</v>
      </c>
    </row>
    <row r="43" customFormat="false" ht="13.8" hidden="false" customHeight="false" outlineLevel="0" collapsed="false">
      <c r="F43" s="2" t="s">
        <v>16</v>
      </c>
      <c r="G43" s="0" t="n">
        <v>0</v>
      </c>
      <c r="H43" s="0" t="n">
        <v>-9.09494701772928E-015</v>
      </c>
      <c r="I43" s="0" t="n">
        <v>0</v>
      </c>
      <c r="J43" s="0" t="n">
        <v>0</v>
      </c>
      <c r="K43" s="0" t="n">
        <v>0</v>
      </c>
      <c r="L43" s="0" t="n">
        <v>0</v>
      </c>
      <c r="M43" s="0" t="n">
        <v>0</v>
      </c>
      <c r="N43" s="0" t="n">
        <v>0</v>
      </c>
    </row>
    <row r="44" customFormat="false" ht="13.8" hidden="false" customHeight="false" outlineLevel="0" collapsed="false">
      <c r="F44" s="2" t="s">
        <v>17</v>
      </c>
      <c r="G44" s="0" t="n">
        <v>3.21961124427617E-013</v>
      </c>
      <c r="H44" s="0" t="n">
        <v>0</v>
      </c>
      <c r="I44" s="0" t="n">
        <v>0</v>
      </c>
      <c r="J44" s="0" t="n">
        <v>0</v>
      </c>
      <c r="K44" s="0" t="n">
        <v>0</v>
      </c>
      <c r="L44" s="0" t="n">
        <v>0</v>
      </c>
      <c r="M44" s="0" t="n">
        <v>0</v>
      </c>
      <c r="N44" s="0" t="n">
        <v>0</v>
      </c>
    </row>
    <row r="45" customFormat="false" ht="13.8" hidden="false" customHeight="false" outlineLevel="0" collapsed="false">
      <c r="F45" s="2" t="s">
        <v>18</v>
      </c>
      <c r="G45" s="0" t="n">
        <v>2.91038304567337E-013</v>
      </c>
      <c r="H45" s="0" t="n">
        <v>-3.63797880709171E-015</v>
      </c>
      <c r="I45" s="0" t="n">
        <v>0</v>
      </c>
      <c r="J45" s="0" t="n">
        <v>0</v>
      </c>
      <c r="K45" s="0" t="n">
        <v>0</v>
      </c>
      <c r="L45" s="0" t="n">
        <v>0</v>
      </c>
      <c r="M45" s="0" t="n">
        <v>0</v>
      </c>
      <c r="N45" s="0" t="n">
        <v>0</v>
      </c>
    </row>
    <row r="46" customFormat="false" ht="13.8" hidden="false" customHeight="false" outlineLevel="0" collapsed="false">
      <c r="F46" s="2" t="s">
        <v>19</v>
      </c>
      <c r="G46" s="0" t="n">
        <v>0</v>
      </c>
      <c r="H46" s="0" t="n">
        <v>-0.205065934487216</v>
      </c>
      <c r="I46" s="0" t="n">
        <v>0</v>
      </c>
      <c r="J46" s="0" t="n">
        <v>0</v>
      </c>
      <c r="K46" s="0" t="n">
        <v>0</v>
      </c>
      <c r="L46" s="0" t="n">
        <v>0</v>
      </c>
      <c r="M46" s="0" t="n">
        <v>0</v>
      </c>
      <c r="N46" s="0" t="n">
        <v>0</v>
      </c>
    </row>
    <row r="47" customFormat="false" ht="13.8" hidden="false" customHeight="false" outlineLevel="0" collapsed="false">
      <c r="F47" s="2" t="s">
        <v>20</v>
      </c>
      <c r="G47" s="0" t="n">
        <v>0</v>
      </c>
      <c r="H47" s="0" t="n">
        <v>-77.8226219103661</v>
      </c>
      <c r="I47" s="0" t="n">
        <v>0</v>
      </c>
      <c r="J47" s="0" t="n">
        <v>0</v>
      </c>
      <c r="K47" s="0" t="n">
        <v>0</v>
      </c>
      <c r="L47" s="0" t="n">
        <v>0</v>
      </c>
      <c r="M47" s="0" t="n">
        <v>0</v>
      </c>
      <c r="N47" s="0" t="n">
        <v>0</v>
      </c>
    </row>
    <row r="48" customFormat="false" ht="13.8" hidden="false" customHeight="false" outlineLevel="0" collapsed="false">
      <c r="F48" s="2" t="s">
        <v>21</v>
      </c>
      <c r="G48" s="0" t="n">
        <v>0</v>
      </c>
      <c r="H48" s="0" t="n">
        <v>-2.72579838354591</v>
      </c>
      <c r="I48" s="0" t="n">
        <v>0</v>
      </c>
      <c r="J48" s="0" t="n">
        <v>0</v>
      </c>
      <c r="K48" s="0" t="n">
        <v>151.401006663091</v>
      </c>
      <c r="L48" s="0" t="n">
        <v>0</v>
      </c>
      <c r="M48" s="0" t="n">
        <v>0</v>
      </c>
      <c r="N48" s="0" t="n">
        <v>-492.580225552783</v>
      </c>
    </row>
    <row r="49" customFormat="false" ht="13.8" hidden="false" customHeight="false" outlineLevel="0" collapsed="false">
      <c r="F49" s="2" t="s">
        <v>22</v>
      </c>
      <c r="G49" s="0" t="n">
        <v>0</v>
      </c>
      <c r="H49" s="0" t="n">
        <v>-3.8083156020848</v>
      </c>
      <c r="I49" s="0" t="n">
        <v>0</v>
      </c>
      <c r="J49" s="0" t="n">
        <v>-109.959934459614</v>
      </c>
      <c r="K49" s="0" t="n">
        <v>0</v>
      </c>
      <c r="L49" s="0" t="n">
        <v>-202.9248126</v>
      </c>
      <c r="M49" s="0" t="n">
        <v>0</v>
      </c>
      <c r="N49" s="0" t="n">
        <v>-163.789591823248</v>
      </c>
    </row>
    <row r="50" customFormat="false" ht="13.8" hidden="false" customHeight="false" outlineLevel="0" collapsed="false">
      <c r="F50" s="2" t="s">
        <v>23</v>
      </c>
      <c r="G50" s="0" t="n">
        <v>0</v>
      </c>
      <c r="H50" s="0" t="n">
        <v>-3.70599456135646</v>
      </c>
      <c r="I50" s="0" t="n">
        <v>0</v>
      </c>
      <c r="J50" s="0" t="n">
        <v>-472.640186512862</v>
      </c>
      <c r="K50" s="0" t="n">
        <v>0</v>
      </c>
      <c r="L50" s="0" t="n">
        <v>-11.5897266</v>
      </c>
      <c r="M50" s="0" t="n">
        <v>20.3627623780334</v>
      </c>
      <c r="N50" s="0" t="n">
        <v>0</v>
      </c>
    </row>
    <row r="51" customFormat="false" ht="13.8" hidden="false" customHeight="false" outlineLevel="0" collapsed="false">
      <c r="F51" s="2" t="s">
        <v>24</v>
      </c>
      <c r="G51" s="0" t="n">
        <v>0</v>
      </c>
      <c r="H51" s="0" t="n">
        <v>-2.91414050242331</v>
      </c>
      <c r="I51" s="0" t="n">
        <v>0</v>
      </c>
      <c r="J51" s="0" t="n">
        <v>-60.5555556628763</v>
      </c>
      <c r="K51" s="0" t="n">
        <v>0</v>
      </c>
      <c r="L51" s="0" t="n">
        <v>-411.390762166667</v>
      </c>
      <c r="M51" s="0" t="n">
        <v>107.192935351482</v>
      </c>
      <c r="N51" s="0" t="n">
        <v>0</v>
      </c>
    </row>
    <row r="52" customFormat="false" ht="13.8" hidden="false" customHeight="false" outlineLevel="0" collapsed="false">
      <c r="F52" s="2" t="s">
        <v>25</v>
      </c>
      <c r="G52" s="0" t="n">
        <v>0</v>
      </c>
      <c r="H52" s="0" t="n">
        <v>-1.1435843498361</v>
      </c>
      <c r="I52" s="0" t="n">
        <v>13.8816</v>
      </c>
      <c r="J52" s="0" t="n">
        <v>0</v>
      </c>
      <c r="K52" s="0" t="n">
        <v>0</v>
      </c>
      <c r="L52" s="0" t="n">
        <v>0</v>
      </c>
      <c r="M52" s="0" t="n">
        <v>0</v>
      </c>
      <c r="N52" s="0" t="n">
        <v>-157.020291976184</v>
      </c>
    </row>
    <row r="53" customFormat="false" ht="13.8" hidden="false" customHeight="false" outlineLevel="0" collapsed="false">
      <c r="F53" s="2" t="s">
        <v>26</v>
      </c>
      <c r="G53" s="0" t="n">
        <v>0</v>
      </c>
      <c r="H53" s="0" t="n">
        <v>-4.06852676443682</v>
      </c>
      <c r="I53" s="0" t="n">
        <v>0</v>
      </c>
      <c r="J53" s="0" t="n">
        <v>0</v>
      </c>
      <c r="K53" s="0" t="n">
        <v>0</v>
      </c>
      <c r="L53" s="0" t="n">
        <v>0</v>
      </c>
      <c r="M53" s="0" t="n">
        <v>0</v>
      </c>
      <c r="N53" s="0" t="n">
        <v>0</v>
      </c>
    </row>
    <row r="54" customFormat="false" ht="13.8" hidden="false" customHeight="false" outlineLevel="0" collapsed="false">
      <c r="F54" s="2" t="s">
        <v>27</v>
      </c>
      <c r="G54" s="0" t="n">
        <v>0</v>
      </c>
      <c r="H54" s="0" t="n">
        <v>0</v>
      </c>
      <c r="I54" s="0" t="n">
        <v>0</v>
      </c>
      <c r="J54" s="0" t="n">
        <v>0</v>
      </c>
      <c r="K54" s="0" t="n">
        <v>0</v>
      </c>
      <c r="L54" s="0" t="n">
        <v>0</v>
      </c>
      <c r="M54" s="0" t="n">
        <v>0</v>
      </c>
      <c r="N54" s="0" t="n">
        <v>0</v>
      </c>
    </row>
    <row r="55" customFormat="false" ht="13.8" hidden="false" customHeight="false" outlineLevel="0" collapsed="false">
      <c r="F55" s="2" t="s">
        <v>28</v>
      </c>
      <c r="G55" s="0" t="n">
        <v>2.03726813197136E-013</v>
      </c>
      <c r="H55" s="0" t="n">
        <v>-3.63797880709171E-015</v>
      </c>
      <c r="I55" s="0" t="n">
        <v>0</v>
      </c>
      <c r="J55" s="0" t="n">
        <v>0</v>
      </c>
      <c r="K55" s="0" t="n">
        <v>0</v>
      </c>
      <c r="L55" s="0" t="n">
        <v>0</v>
      </c>
      <c r="M55" s="0" t="n">
        <v>0</v>
      </c>
      <c r="N55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>
  <sheetPr filterMode="false">
    <pageSetUpPr fitToPage="false"/>
  </sheetPr>
  <dimension ref="B3:M54"/>
  <sheetViews>
    <sheetView showFormulas="false" showGridLines="true" showRowColHeaders="true" showZeros="true" rightToLeft="false" tabSelected="true" showOutlineSymbols="true" defaultGridColor="true" view="normal" topLeftCell="D19" colorId="64" zoomScale="150" zoomScaleNormal="150" zoomScalePageLayoutView="100" workbookViewId="0">
      <selection pane="topLeft" activeCell="F30" activeCellId="0" sqref="F30:M54"/>
    </sheetView>
  </sheetViews>
  <sheetFormatPr defaultColWidth="11.53515625" defaultRowHeight="13.8" zeroHeight="false" outlineLevelRow="0" outlineLevelCol="0"/>
  <sheetData>
    <row r="3" customFormat="false" ht="13.8" hidden="false" customHeight="false" outlineLevel="0" collapsed="false">
      <c r="B3" s="0" t="s">
        <v>48</v>
      </c>
      <c r="C3" s="0" t="s">
        <v>39</v>
      </c>
      <c r="D3" s="0" t="s">
        <v>40</v>
      </c>
      <c r="E3" s="0" t="s">
        <v>50</v>
      </c>
      <c r="F3" s="0" t="s">
        <v>51</v>
      </c>
      <c r="G3" s="0" t="s">
        <v>52</v>
      </c>
      <c r="H3" s="0" t="s">
        <v>41</v>
      </c>
      <c r="I3" s="0" t="s">
        <v>42</v>
      </c>
      <c r="J3" s="0" t="s">
        <v>56</v>
      </c>
      <c r="K3" s="0" t="s">
        <v>43</v>
      </c>
      <c r="L3" s="0" t="s">
        <v>55</v>
      </c>
    </row>
    <row r="4" customFormat="false" ht="13.8" hidden="false" customHeight="false" outlineLevel="0" collapsed="false">
      <c r="B4" s="2" t="s">
        <v>5</v>
      </c>
      <c r="C4" s="0" t="n">
        <v>0</v>
      </c>
      <c r="D4" s="0" t="n">
        <v>0</v>
      </c>
      <c r="E4" s="0" t="n">
        <v>-2.3283064365387E-013</v>
      </c>
      <c r="F4" s="0" t="n">
        <f aca="false">D4</f>
        <v>0</v>
      </c>
      <c r="G4" s="0" t="n">
        <f aca="false">C4+F4</f>
        <v>0</v>
      </c>
      <c r="H4" s="0" t="n">
        <v>0</v>
      </c>
      <c r="I4" s="0" t="n">
        <v>0</v>
      </c>
      <c r="J4" s="0" t="n">
        <v>0</v>
      </c>
      <c r="K4" s="0" t="n">
        <v>0</v>
      </c>
      <c r="L4" s="0" t="n">
        <v>0</v>
      </c>
    </row>
    <row r="5" customFormat="false" ht="13.8" hidden="false" customHeight="false" outlineLevel="0" collapsed="false">
      <c r="B5" s="2" t="s">
        <v>6</v>
      </c>
      <c r="C5" s="0" t="n">
        <v>0</v>
      </c>
      <c r="D5" s="0" t="n">
        <v>0</v>
      </c>
      <c r="E5" s="0" t="n">
        <v>-1.74622982740402E-013</v>
      </c>
      <c r="F5" s="0" t="n">
        <f aca="false">D5</f>
        <v>0</v>
      </c>
      <c r="G5" s="0" t="n">
        <f aca="false">C5+F5</f>
        <v>0</v>
      </c>
      <c r="H5" s="0" t="n">
        <v>0</v>
      </c>
      <c r="I5" s="0" t="n">
        <v>0</v>
      </c>
      <c r="J5" s="0" t="n">
        <v>0</v>
      </c>
      <c r="K5" s="0" t="n">
        <v>0</v>
      </c>
      <c r="L5" s="0" t="n">
        <v>0</v>
      </c>
    </row>
    <row r="6" customFormat="false" ht="13.8" hidden="false" customHeight="false" outlineLevel="0" collapsed="false">
      <c r="B6" s="2" t="s">
        <v>7</v>
      </c>
      <c r="C6" s="0" t="n">
        <v>-0.000163971139298155</v>
      </c>
      <c r="D6" s="0" t="n">
        <v>0</v>
      </c>
      <c r="E6" s="0" t="n">
        <v>-0.00802707529999316</v>
      </c>
      <c r="F6" s="0" t="n">
        <f aca="false">D6</f>
        <v>0</v>
      </c>
      <c r="G6" s="0" t="n">
        <f aca="false">C6+F6</f>
        <v>-0.000163971139298155</v>
      </c>
      <c r="H6" s="0" t="n">
        <v>0</v>
      </c>
      <c r="I6" s="0" t="n">
        <v>0</v>
      </c>
      <c r="J6" s="0" t="n">
        <v>0</v>
      </c>
      <c r="K6" s="0" t="n">
        <v>0</v>
      </c>
      <c r="L6" s="0" t="n">
        <v>0</v>
      </c>
    </row>
    <row r="7" customFormat="false" ht="13.8" hidden="false" customHeight="false" outlineLevel="0" collapsed="false">
      <c r="B7" s="2" t="s">
        <v>8</v>
      </c>
      <c r="C7" s="0" t="n">
        <v>-0.617515310592598</v>
      </c>
      <c r="D7" s="0" t="n">
        <v>0</v>
      </c>
      <c r="E7" s="0" t="n">
        <v>-77.2923605033221</v>
      </c>
      <c r="F7" s="0" t="n">
        <f aca="false">D7</f>
        <v>0</v>
      </c>
      <c r="G7" s="0" t="n">
        <f aca="false">C7+F7</f>
        <v>-0.617515310592598</v>
      </c>
      <c r="H7" s="0" t="n">
        <v>0</v>
      </c>
      <c r="I7" s="0" t="n">
        <v>0</v>
      </c>
      <c r="J7" s="0" t="n">
        <v>0</v>
      </c>
      <c r="K7" s="0" t="n">
        <v>0</v>
      </c>
      <c r="L7" s="0" t="n">
        <v>0</v>
      </c>
    </row>
    <row r="8" customFormat="false" ht="13.8" hidden="false" customHeight="false" outlineLevel="0" collapsed="false">
      <c r="B8" s="2" t="s">
        <v>9</v>
      </c>
      <c r="C8" s="0" t="n">
        <v>-37.4263364477563</v>
      </c>
      <c r="D8" s="0" t="n">
        <v>0</v>
      </c>
      <c r="E8" s="0" t="n">
        <v>-248.257602532665</v>
      </c>
      <c r="F8" s="0" t="n">
        <f aca="false">D8</f>
        <v>0</v>
      </c>
      <c r="G8" s="0" t="n">
        <f aca="false">C8+F8</f>
        <v>-37.4263364477563</v>
      </c>
      <c r="H8" s="0" t="n">
        <v>-64.6082149824624</v>
      </c>
      <c r="I8" s="0" t="n">
        <v>0</v>
      </c>
      <c r="J8" s="0" t="n">
        <v>-33.676812</v>
      </c>
      <c r="K8" s="0" t="n">
        <v>0</v>
      </c>
      <c r="L8" s="0" t="n">
        <v>0</v>
      </c>
    </row>
    <row r="9" customFormat="false" ht="13.8" hidden="false" customHeight="false" outlineLevel="0" collapsed="false">
      <c r="B9" s="2" t="s">
        <v>10</v>
      </c>
      <c r="C9" s="0" t="n">
        <v>-4.90656283960303</v>
      </c>
      <c r="D9" s="0" t="n">
        <v>0</v>
      </c>
      <c r="E9" s="0" t="n">
        <v>0</v>
      </c>
      <c r="F9" s="0" t="n">
        <f aca="false">D9</f>
        <v>0</v>
      </c>
      <c r="G9" s="0" t="n">
        <f aca="false">C9+F9</f>
        <v>-4.90656283960303</v>
      </c>
      <c r="H9" s="0" t="n">
        <v>-93.9023874514053</v>
      </c>
      <c r="I9" s="0" t="n">
        <v>0</v>
      </c>
      <c r="J9" s="0" t="n">
        <v>-27.26665015</v>
      </c>
      <c r="K9" s="0" t="n">
        <v>0</v>
      </c>
      <c r="L9" s="0" t="n">
        <v>-492.969296016387</v>
      </c>
    </row>
    <row r="10" customFormat="false" ht="13.8" hidden="false" customHeight="false" outlineLevel="0" collapsed="false">
      <c r="B10" s="2" t="s">
        <v>11</v>
      </c>
      <c r="C10" s="0" t="n">
        <v>-4.97696155266427</v>
      </c>
      <c r="D10" s="0" t="n">
        <v>0</v>
      </c>
      <c r="E10" s="0" t="n">
        <v>0</v>
      </c>
      <c r="F10" s="0" t="n">
        <f aca="false">D10</f>
        <v>0</v>
      </c>
      <c r="G10" s="0" t="n">
        <f aca="false">C10+F10</f>
        <v>-4.97696155266427</v>
      </c>
      <c r="H10" s="0" t="n">
        <v>-113.780155229358</v>
      </c>
      <c r="I10" s="0" t="n">
        <v>100.373205047441</v>
      </c>
      <c r="J10" s="0" t="n">
        <v>0</v>
      </c>
      <c r="K10" s="0" t="n">
        <v>0</v>
      </c>
      <c r="L10" s="0" t="n">
        <v>-609.542958817993</v>
      </c>
    </row>
    <row r="11" customFormat="false" ht="13.8" hidden="false" customHeight="false" outlineLevel="0" collapsed="false">
      <c r="B11" s="2" t="s">
        <v>12</v>
      </c>
      <c r="C11" s="0" t="n">
        <v>-3.83074819467528</v>
      </c>
      <c r="D11" s="0" t="n">
        <v>0</v>
      </c>
      <c r="E11" s="0" t="n">
        <v>0</v>
      </c>
      <c r="F11" s="0" t="n">
        <f aca="false">D11</f>
        <v>0</v>
      </c>
      <c r="G11" s="0" t="n">
        <f aca="false">C11+F11</f>
        <v>-3.83074819467528</v>
      </c>
      <c r="H11" s="0" t="n">
        <v>-37.3824</v>
      </c>
      <c r="I11" s="0" t="n">
        <v>0</v>
      </c>
      <c r="J11" s="0" t="n">
        <v>-27.61905</v>
      </c>
      <c r="K11" s="0" t="n">
        <v>0</v>
      </c>
      <c r="L11" s="0" t="n">
        <v>-414.480702719678</v>
      </c>
    </row>
    <row r="12" customFormat="false" ht="13.8" hidden="false" customHeight="false" outlineLevel="0" collapsed="false">
      <c r="B12" s="2" t="s">
        <v>13</v>
      </c>
      <c r="C12" s="0" t="n">
        <v>-1.20988859845448</v>
      </c>
      <c r="D12" s="0" t="n">
        <v>0</v>
      </c>
      <c r="E12" s="0" t="n">
        <v>-151.437776710124</v>
      </c>
      <c r="F12" s="0" t="n">
        <f aca="false">D12</f>
        <v>0</v>
      </c>
      <c r="G12" s="0" t="n">
        <f aca="false">C12+F12</f>
        <v>-1.20988859845448</v>
      </c>
      <c r="H12" s="0" t="n">
        <v>0</v>
      </c>
      <c r="I12" s="0" t="n">
        <v>0</v>
      </c>
      <c r="J12" s="0" t="n">
        <v>0</v>
      </c>
      <c r="K12" s="0" t="n">
        <v>0</v>
      </c>
      <c r="L12" s="0" t="n">
        <v>0</v>
      </c>
    </row>
    <row r="13" customFormat="false" ht="13.8" hidden="false" customHeight="false" outlineLevel="0" collapsed="false">
      <c r="B13" s="2" t="s">
        <v>14</v>
      </c>
      <c r="C13" s="0" t="n">
        <v>-0.00158527297472028</v>
      </c>
      <c r="D13" s="0" t="n">
        <v>0</v>
      </c>
      <c r="E13" s="0" t="n">
        <v>-0.198423404499743</v>
      </c>
      <c r="F13" s="0" t="n">
        <f aca="false">D13</f>
        <v>0</v>
      </c>
      <c r="G13" s="0" t="n">
        <f aca="false">C13+F13</f>
        <v>-0.00158527297472028</v>
      </c>
      <c r="H13" s="0" t="n">
        <v>0</v>
      </c>
      <c r="I13" s="0" t="n">
        <v>0</v>
      </c>
      <c r="J13" s="0" t="n">
        <v>0</v>
      </c>
      <c r="K13" s="0" t="n">
        <v>0</v>
      </c>
      <c r="L13" s="0" t="n">
        <v>0</v>
      </c>
    </row>
    <row r="14" customFormat="false" ht="13.8" hidden="false" customHeight="false" outlineLevel="0" collapsed="false">
      <c r="B14" s="2" t="s">
        <v>15</v>
      </c>
      <c r="C14" s="0" t="n">
        <v>-0.000218409557543055</v>
      </c>
      <c r="D14" s="0" t="n">
        <v>0</v>
      </c>
      <c r="E14" s="0" t="n">
        <v>-0.0273376059981674</v>
      </c>
      <c r="F14" s="0" t="n">
        <f aca="false">D14</f>
        <v>0</v>
      </c>
      <c r="G14" s="0" t="n">
        <f aca="false">C14+F14</f>
        <v>-0.000218409557543055</v>
      </c>
      <c r="H14" s="0" t="n">
        <v>0</v>
      </c>
      <c r="I14" s="0" t="n">
        <v>0</v>
      </c>
      <c r="J14" s="0" t="n">
        <v>0</v>
      </c>
      <c r="K14" s="0" t="n">
        <v>0</v>
      </c>
      <c r="L14" s="0" t="n">
        <v>0</v>
      </c>
    </row>
    <row r="15" customFormat="false" ht="13.8" hidden="false" customHeight="false" outlineLevel="0" collapsed="false">
      <c r="B15" s="2" t="s">
        <v>16</v>
      </c>
      <c r="C15" s="0" t="n">
        <v>0</v>
      </c>
      <c r="D15" s="0" t="n">
        <v>0</v>
      </c>
      <c r="E15" s="0" t="n">
        <v>-5.82076609134674E-014</v>
      </c>
      <c r="F15" s="0" t="n">
        <f aca="false">D15</f>
        <v>0</v>
      </c>
      <c r="G15" s="0" t="n">
        <f aca="false">C15+F15</f>
        <v>0</v>
      </c>
      <c r="H15" s="0" t="n">
        <v>0</v>
      </c>
      <c r="I15" s="0" t="n">
        <v>0</v>
      </c>
      <c r="J15" s="0" t="n">
        <v>0</v>
      </c>
      <c r="K15" s="0" t="n">
        <v>0</v>
      </c>
      <c r="L15" s="0" t="n">
        <v>0</v>
      </c>
    </row>
    <row r="16" customFormat="false" ht="13.8" hidden="false" customHeight="false" outlineLevel="0" collapsed="false">
      <c r="B16" s="2" t="s">
        <v>17</v>
      </c>
      <c r="C16" s="0" t="n">
        <v>0</v>
      </c>
      <c r="D16" s="0" t="n">
        <v>5.23868948221207E-013</v>
      </c>
      <c r="E16" s="0" t="n">
        <v>0</v>
      </c>
      <c r="F16" s="0" t="n">
        <f aca="false">D16</f>
        <v>5.23868948221207E-013</v>
      </c>
      <c r="G16" s="0" t="n">
        <f aca="false">C16+F16</f>
        <v>5.23868948221207E-013</v>
      </c>
      <c r="H16" s="0" t="n">
        <v>0</v>
      </c>
      <c r="I16" s="0" t="n">
        <v>0</v>
      </c>
      <c r="J16" s="0" t="n">
        <v>0</v>
      </c>
      <c r="K16" s="0" t="n">
        <v>0</v>
      </c>
      <c r="L16" s="0" t="n">
        <v>0</v>
      </c>
    </row>
    <row r="17" customFormat="false" ht="13.8" hidden="false" customHeight="false" outlineLevel="0" collapsed="false">
      <c r="B17" s="2" t="s">
        <v>18</v>
      </c>
      <c r="C17" s="0" t="n">
        <v>0</v>
      </c>
      <c r="D17" s="0" t="n">
        <v>3.78349795937538E-013</v>
      </c>
      <c r="E17" s="0" t="n">
        <v>0</v>
      </c>
      <c r="F17" s="0" t="n">
        <f aca="false">D17</f>
        <v>3.78349795937538E-013</v>
      </c>
      <c r="G17" s="0" t="n">
        <f aca="false">C17+F17</f>
        <v>3.78349795937538E-013</v>
      </c>
      <c r="H17" s="0" t="n">
        <v>0</v>
      </c>
      <c r="I17" s="0" t="n">
        <v>0</v>
      </c>
      <c r="J17" s="0" t="n">
        <v>0</v>
      </c>
      <c r="K17" s="0" t="n">
        <v>0</v>
      </c>
      <c r="L17" s="0" t="n">
        <v>0</v>
      </c>
    </row>
    <row r="18" customFormat="false" ht="13.8" hidden="false" customHeight="false" outlineLevel="0" collapsed="false">
      <c r="B18" s="2" t="s">
        <v>19</v>
      </c>
      <c r="C18" s="0" t="n">
        <v>-0.00205560742831767</v>
      </c>
      <c r="D18" s="0" t="n">
        <v>0</v>
      </c>
      <c r="E18" s="0" t="n">
        <v>-0.257293621189572</v>
      </c>
      <c r="F18" s="0" t="n">
        <f aca="false">D18</f>
        <v>0</v>
      </c>
      <c r="G18" s="0" t="n">
        <f aca="false">C18+F18</f>
        <v>-0.00205560742831767</v>
      </c>
      <c r="H18" s="0" t="n">
        <v>0</v>
      </c>
      <c r="I18" s="0" t="n">
        <v>0</v>
      </c>
      <c r="J18" s="0" t="n">
        <v>0</v>
      </c>
      <c r="K18" s="0" t="n">
        <v>0</v>
      </c>
      <c r="L18" s="0" t="n">
        <v>0</v>
      </c>
    </row>
    <row r="19" customFormat="false" ht="13.8" hidden="false" customHeight="false" outlineLevel="0" collapsed="false">
      <c r="B19" s="2" t="s">
        <v>20</v>
      </c>
      <c r="C19" s="0" t="n">
        <v>-0.780104019179287</v>
      </c>
      <c r="D19" s="0" t="n">
        <v>0</v>
      </c>
      <c r="E19" s="0" t="n">
        <v>-97.643054425055</v>
      </c>
      <c r="F19" s="0" t="n">
        <f aca="false">D19</f>
        <v>0</v>
      </c>
      <c r="G19" s="0" t="n">
        <f aca="false">C19+F19</f>
        <v>-0.780104019179287</v>
      </c>
      <c r="H19" s="0" t="n">
        <v>0</v>
      </c>
      <c r="I19" s="0" t="n">
        <v>0</v>
      </c>
      <c r="J19" s="0" t="n">
        <v>0</v>
      </c>
      <c r="K19" s="0" t="n">
        <v>0</v>
      </c>
      <c r="L19" s="0" t="n">
        <v>0</v>
      </c>
    </row>
    <row r="20" customFormat="false" ht="13.8" hidden="false" customHeight="false" outlineLevel="0" collapsed="false">
      <c r="B20" s="2" t="s">
        <v>21</v>
      </c>
      <c r="C20" s="0" t="n">
        <v>-3.44734833657719</v>
      </c>
      <c r="D20" s="0" t="n">
        <v>0</v>
      </c>
      <c r="E20" s="0" t="n">
        <v>-202.504367472523</v>
      </c>
      <c r="F20" s="0" t="n">
        <f aca="false">D20</f>
        <v>0</v>
      </c>
      <c r="G20" s="0" t="n">
        <f aca="false">C20+F20</f>
        <v>-3.44734833657719</v>
      </c>
      <c r="H20" s="0" t="n">
        <v>-217.14</v>
      </c>
      <c r="I20" s="0" t="n">
        <v>0</v>
      </c>
      <c r="J20" s="0" t="n">
        <v>-22.5213398</v>
      </c>
      <c r="K20" s="0" t="n">
        <v>26.6755499611922</v>
      </c>
      <c r="L20" s="0" t="n">
        <v>0</v>
      </c>
    </row>
    <row r="21" customFormat="false" ht="13.8" hidden="false" customHeight="false" outlineLevel="0" collapsed="false">
      <c r="B21" s="2" t="s">
        <v>22</v>
      </c>
      <c r="C21" s="0" t="n">
        <v>-4.81642022214771</v>
      </c>
      <c r="D21" s="0" t="n">
        <v>0</v>
      </c>
      <c r="E21" s="0" t="n">
        <v>0</v>
      </c>
      <c r="F21" s="0" t="n">
        <f aca="false">D21</f>
        <v>0</v>
      </c>
      <c r="G21" s="0" t="n">
        <f aca="false">C21+F21</f>
        <v>-4.81642022214771</v>
      </c>
      <c r="H21" s="0" t="n">
        <v>-2.37403191840369</v>
      </c>
      <c r="I21" s="0" t="n">
        <v>0</v>
      </c>
      <c r="J21" s="0" t="n">
        <v>-198.426576456205</v>
      </c>
      <c r="K21" s="0" t="n">
        <v>0</v>
      </c>
      <c r="L21" s="0" t="n">
        <v>-402.054870283062</v>
      </c>
    </row>
    <row r="22" customFormat="false" ht="13.8" hidden="false" customHeight="false" outlineLevel="0" collapsed="false">
      <c r="B22" s="2" t="s">
        <v>23</v>
      </c>
      <c r="C22" s="0" t="n">
        <v>-4.68701363372172</v>
      </c>
      <c r="D22" s="0" t="n">
        <v>0</v>
      </c>
      <c r="E22" s="0" t="n">
        <v>0</v>
      </c>
      <c r="F22" s="0" t="n">
        <f aca="false">D22</f>
        <v>0</v>
      </c>
      <c r="G22" s="0" t="n">
        <f aca="false">C22+F22</f>
        <v>-4.68701363372172</v>
      </c>
      <c r="H22" s="0" t="n">
        <v>-92.9498359060492</v>
      </c>
      <c r="I22" s="0" t="n">
        <v>0</v>
      </c>
      <c r="J22" s="0" t="n">
        <v>-351.730045590787</v>
      </c>
      <c r="K22" s="0" t="n">
        <v>0</v>
      </c>
      <c r="L22" s="0" t="n">
        <v>-141.978200088156</v>
      </c>
    </row>
    <row r="23" customFormat="false" ht="13.8" hidden="false" customHeight="false" outlineLevel="0" collapsed="false">
      <c r="B23" s="2" t="s">
        <v>24</v>
      </c>
      <c r="C23" s="0" t="n">
        <v>-3.68554676465567</v>
      </c>
      <c r="D23" s="0" t="n">
        <v>0</v>
      </c>
      <c r="E23" s="0" t="n">
        <v>0</v>
      </c>
      <c r="F23" s="0" t="n">
        <f aca="false">D23</f>
        <v>0</v>
      </c>
      <c r="G23" s="0" t="n">
        <f aca="false">C23+F23</f>
        <v>-3.68554676465567</v>
      </c>
      <c r="H23" s="0" t="n">
        <v>-49.2598146542144</v>
      </c>
      <c r="I23" s="0" t="n">
        <v>0</v>
      </c>
      <c r="J23" s="0" t="n">
        <v>-27.203825</v>
      </c>
      <c r="K23" s="0" t="n">
        <v>0</v>
      </c>
      <c r="L23" s="0" t="n">
        <v>-384.844127617587</v>
      </c>
    </row>
    <row r="24" customFormat="false" ht="13.8" hidden="false" customHeight="false" outlineLevel="0" collapsed="false">
      <c r="B24" s="2" t="s">
        <v>25</v>
      </c>
      <c r="C24" s="0" t="n">
        <v>-1.44630418373597</v>
      </c>
      <c r="D24" s="0" t="n">
        <v>0</v>
      </c>
      <c r="E24" s="0" t="n">
        <v>-181.029137981225</v>
      </c>
      <c r="F24" s="0" t="n">
        <f aca="false">D24</f>
        <v>0</v>
      </c>
      <c r="G24" s="0" t="n">
        <f aca="false">C24+F24</f>
        <v>-1.44630418373597</v>
      </c>
      <c r="H24" s="0" t="n">
        <v>0</v>
      </c>
      <c r="I24" s="0" t="n">
        <v>0</v>
      </c>
      <c r="J24" s="0" t="n">
        <v>0</v>
      </c>
      <c r="K24" s="0" t="n">
        <v>0</v>
      </c>
      <c r="L24" s="0" t="n">
        <v>0</v>
      </c>
    </row>
    <row r="25" customFormat="false" ht="13.8" hidden="false" customHeight="false" outlineLevel="0" collapsed="false">
      <c r="B25" s="2" t="s">
        <v>26</v>
      </c>
      <c r="C25" s="0" t="n">
        <v>-0.0407834380693457</v>
      </c>
      <c r="D25" s="0" t="n">
        <v>0</v>
      </c>
      <c r="E25" s="0" t="n">
        <v>-5.10472881198059</v>
      </c>
      <c r="F25" s="0" t="n">
        <f aca="false">D25</f>
        <v>0</v>
      </c>
      <c r="G25" s="0" t="n">
        <f aca="false">C25+F25</f>
        <v>-0.0407834380693457</v>
      </c>
      <c r="H25" s="0" t="n">
        <v>0</v>
      </c>
      <c r="I25" s="0" t="n">
        <v>0</v>
      </c>
      <c r="J25" s="0" t="n">
        <v>0</v>
      </c>
      <c r="K25" s="0" t="n">
        <v>0</v>
      </c>
      <c r="L25" s="0" t="n">
        <v>0</v>
      </c>
    </row>
    <row r="26" customFormat="false" ht="13.8" hidden="false" customHeight="false" outlineLevel="0" collapsed="false">
      <c r="B26" s="2" t="s">
        <v>27</v>
      </c>
      <c r="C26" s="0" t="n">
        <v>0</v>
      </c>
      <c r="D26" s="0" t="n">
        <v>1.5825207810849E-013</v>
      </c>
      <c r="E26" s="0" t="n">
        <v>0</v>
      </c>
      <c r="F26" s="0" t="n">
        <f aca="false">D26</f>
        <v>1.5825207810849E-013</v>
      </c>
      <c r="G26" s="0" t="n">
        <f aca="false">C26+F26</f>
        <v>1.5825207810849E-013</v>
      </c>
      <c r="H26" s="0" t="n">
        <v>0</v>
      </c>
      <c r="I26" s="0" t="n">
        <v>0</v>
      </c>
      <c r="J26" s="0" t="n">
        <v>0</v>
      </c>
      <c r="K26" s="0" t="n">
        <v>0</v>
      </c>
      <c r="L26" s="0" t="n">
        <v>0</v>
      </c>
    </row>
    <row r="27" customFormat="false" ht="13.8" hidden="false" customHeight="false" outlineLevel="0" collapsed="false">
      <c r="B27" s="2" t="s">
        <v>28</v>
      </c>
      <c r="C27" s="0" t="n">
        <v>0</v>
      </c>
      <c r="D27" s="0" t="n">
        <v>1.45519152283669E-014</v>
      </c>
      <c r="E27" s="0" t="n">
        <v>0</v>
      </c>
      <c r="F27" s="0" t="n">
        <f aca="false">D27</f>
        <v>1.45519152283669E-014</v>
      </c>
      <c r="G27" s="0" t="n">
        <f aca="false">C27+F27</f>
        <v>1.45519152283669E-014</v>
      </c>
      <c r="H27" s="0" t="n">
        <v>0</v>
      </c>
      <c r="I27" s="0" t="n">
        <v>0</v>
      </c>
      <c r="J27" s="0" t="n">
        <v>0</v>
      </c>
      <c r="K27" s="0" t="n">
        <v>0</v>
      </c>
      <c r="L27" s="0" t="n">
        <v>0</v>
      </c>
    </row>
    <row r="30" customFormat="false" ht="13.8" hidden="false" customHeight="false" outlineLevel="0" collapsed="false">
      <c r="F30" s="0" t="s">
        <v>48</v>
      </c>
      <c r="G30" s="0" t="s">
        <v>51</v>
      </c>
      <c r="H30" s="0" t="s">
        <v>52</v>
      </c>
      <c r="I30" s="0" t="s">
        <v>41</v>
      </c>
      <c r="J30" s="0" t="s">
        <v>42</v>
      </c>
      <c r="K30" s="0" t="s">
        <v>56</v>
      </c>
      <c r="L30" s="0" t="s">
        <v>43</v>
      </c>
      <c r="M30" s="0" t="s">
        <v>55</v>
      </c>
    </row>
    <row r="31" customFormat="false" ht="13.8" hidden="false" customHeight="false" outlineLevel="0" collapsed="false">
      <c r="F31" s="2" t="s">
        <v>5</v>
      </c>
      <c r="G31" s="0" t="n">
        <v>0</v>
      </c>
      <c r="H31" s="0" t="n">
        <v>0</v>
      </c>
      <c r="I31" s="0" t="n">
        <v>0</v>
      </c>
      <c r="J31" s="0" t="n">
        <v>0</v>
      </c>
      <c r="K31" s="0" t="n">
        <v>0</v>
      </c>
      <c r="L31" s="0" t="n">
        <v>0</v>
      </c>
      <c r="M31" s="0" t="n">
        <v>0</v>
      </c>
    </row>
    <row r="32" customFormat="false" ht="13.8" hidden="false" customHeight="false" outlineLevel="0" collapsed="false">
      <c r="F32" s="2" t="s">
        <v>6</v>
      </c>
      <c r="G32" s="0" t="n">
        <v>0</v>
      </c>
      <c r="H32" s="0" t="n">
        <v>0</v>
      </c>
      <c r="I32" s="0" t="n">
        <v>0</v>
      </c>
      <c r="J32" s="0" t="n">
        <v>0</v>
      </c>
      <c r="K32" s="0" t="n">
        <v>0</v>
      </c>
      <c r="L32" s="0" t="n">
        <v>0</v>
      </c>
      <c r="M32" s="0" t="n">
        <v>0</v>
      </c>
    </row>
    <row r="33" customFormat="false" ht="13.8" hidden="false" customHeight="false" outlineLevel="0" collapsed="false">
      <c r="F33" s="2" t="s">
        <v>7</v>
      </c>
      <c r="G33" s="0" t="n">
        <v>0</v>
      </c>
      <c r="H33" s="0" t="n">
        <v>-0.000163971139298155</v>
      </c>
      <c r="I33" s="0" t="n">
        <v>0</v>
      </c>
      <c r="J33" s="0" t="n">
        <v>0</v>
      </c>
      <c r="K33" s="0" t="n">
        <v>0</v>
      </c>
      <c r="L33" s="0" t="n">
        <v>0</v>
      </c>
      <c r="M33" s="0" t="n">
        <v>0</v>
      </c>
    </row>
    <row r="34" customFormat="false" ht="13.8" hidden="false" customHeight="false" outlineLevel="0" collapsed="false">
      <c r="F34" s="2" t="s">
        <v>8</v>
      </c>
      <c r="G34" s="0" t="n">
        <v>0</v>
      </c>
      <c r="H34" s="0" t="n">
        <v>-0.617515310592598</v>
      </c>
      <c r="I34" s="0" t="n">
        <v>0</v>
      </c>
      <c r="J34" s="0" t="n">
        <v>0</v>
      </c>
      <c r="K34" s="0" t="n">
        <v>0</v>
      </c>
      <c r="L34" s="0" t="n">
        <v>0</v>
      </c>
      <c r="M34" s="0" t="n">
        <v>0</v>
      </c>
    </row>
    <row r="35" customFormat="false" ht="13.8" hidden="false" customHeight="false" outlineLevel="0" collapsed="false">
      <c r="F35" s="2" t="s">
        <v>9</v>
      </c>
      <c r="G35" s="0" t="n">
        <v>0</v>
      </c>
      <c r="H35" s="0" t="n">
        <v>-37.4263364477563</v>
      </c>
      <c r="I35" s="0" t="n">
        <v>-64.6082149824624</v>
      </c>
      <c r="J35" s="0" t="n">
        <v>0</v>
      </c>
      <c r="K35" s="0" t="n">
        <v>-33.676812</v>
      </c>
      <c r="L35" s="0" t="n">
        <v>0</v>
      </c>
      <c r="M35" s="0" t="n">
        <v>0</v>
      </c>
    </row>
    <row r="36" customFormat="false" ht="13.8" hidden="false" customHeight="false" outlineLevel="0" collapsed="false">
      <c r="F36" s="2" t="s">
        <v>10</v>
      </c>
      <c r="G36" s="0" t="n">
        <v>0</v>
      </c>
      <c r="H36" s="0" t="n">
        <v>-4.90656283960303</v>
      </c>
      <c r="I36" s="0" t="n">
        <v>-93.9023874514053</v>
      </c>
      <c r="J36" s="0" t="n">
        <v>0</v>
      </c>
      <c r="K36" s="0" t="n">
        <v>-27.26665015</v>
      </c>
      <c r="L36" s="0" t="n">
        <v>0</v>
      </c>
      <c r="M36" s="0" t="n">
        <v>-492.969296016387</v>
      </c>
    </row>
    <row r="37" customFormat="false" ht="13.8" hidden="false" customHeight="false" outlineLevel="0" collapsed="false">
      <c r="F37" s="2" t="s">
        <v>11</v>
      </c>
      <c r="G37" s="0" t="n">
        <v>0</v>
      </c>
      <c r="H37" s="0" t="n">
        <v>-4.97696155266427</v>
      </c>
      <c r="I37" s="0" t="n">
        <v>-113.780155229358</v>
      </c>
      <c r="J37" s="0" t="n">
        <v>100.373205047441</v>
      </c>
      <c r="K37" s="0" t="n">
        <v>0</v>
      </c>
      <c r="L37" s="0" t="n">
        <v>0</v>
      </c>
      <c r="M37" s="0" t="n">
        <v>-609.542958817993</v>
      </c>
    </row>
    <row r="38" customFormat="false" ht="13.8" hidden="false" customHeight="false" outlineLevel="0" collapsed="false">
      <c r="F38" s="2" t="s">
        <v>12</v>
      </c>
      <c r="G38" s="0" t="n">
        <v>0</v>
      </c>
      <c r="H38" s="0" t="n">
        <v>-3.83074819467528</v>
      </c>
      <c r="I38" s="0" t="n">
        <v>-37.3824</v>
      </c>
      <c r="J38" s="0" t="n">
        <v>0</v>
      </c>
      <c r="K38" s="0" t="n">
        <v>-27.61905</v>
      </c>
      <c r="L38" s="0" t="n">
        <v>0</v>
      </c>
      <c r="M38" s="0" t="n">
        <v>-414.480702719678</v>
      </c>
    </row>
    <row r="39" customFormat="false" ht="13.8" hidden="false" customHeight="false" outlineLevel="0" collapsed="false">
      <c r="F39" s="2" t="s">
        <v>13</v>
      </c>
      <c r="G39" s="0" t="n">
        <v>0</v>
      </c>
      <c r="H39" s="0" t="n">
        <v>-1.20988859845448</v>
      </c>
      <c r="I39" s="0" t="n">
        <v>0</v>
      </c>
      <c r="J39" s="0" t="n">
        <v>0</v>
      </c>
      <c r="K39" s="0" t="n">
        <v>0</v>
      </c>
      <c r="L39" s="0" t="n">
        <v>0</v>
      </c>
      <c r="M39" s="0" t="n">
        <v>0</v>
      </c>
    </row>
    <row r="40" customFormat="false" ht="13.8" hidden="false" customHeight="false" outlineLevel="0" collapsed="false">
      <c r="F40" s="2" t="s">
        <v>14</v>
      </c>
      <c r="G40" s="0" t="n">
        <v>0</v>
      </c>
      <c r="H40" s="0" t="n">
        <v>-0.00158527297472028</v>
      </c>
      <c r="I40" s="0" t="n">
        <v>0</v>
      </c>
      <c r="J40" s="0" t="n">
        <v>0</v>
      </c>
      <c r="K40" s="0" t="n">
        <v>0</v>
      </c>
      <c r="L40" s="0" t="n">
        <v>0</v>
      </c>
      <c r="M40" s="0" t="n">
        <v>0</v>
      </c>
    </row>
    <row r="41" customFormat="false" ht="13.8" hidden="false" customHeight="false" outlineLevel="0" collapsed="false">
      <c r="F41" s="2" t="s">
        <v>15</v>
      </c>
      <c r="G41" s="0" t="n">
        <v>0</v>
      </c>
      <c r="H41" s="0" t="n">
        <v>-0.000218409557543055</v>
      </c>
      <c r="I41" s="0" t="n">
        <v>0</v>
      </c>
      <c r="J41" s="0" t="n">
        <v>0</v>
      </c>
      <c r="K41" s="0" t="n">
        <v>0</v>
      </c>
      <c r="L41" s="0" t="n">
        <v>0</v>
      </c>
      <c r="M41" s="0" t="n">
        <v>0</v>
      </c>
    </row>
    <row r="42" customFormat="false" ht="13.8" hidden="false" customHeight="false" outlineLevel="0" collapsed="false">
      <c r="F42" s="2" t="s">
        <v>16</v>
      </c>
      <c r="G42" s="0" t="n">
        <v>0</v>
      </c>
      <c r="H42" s="0" t="n">
        <v>0</v>
      </c>
      <c r="I42" s="0" t="n">
        <v>0</v>
      </c>
      <c r="J42" s="0" t="n">
        <v>0</v>
      </c>
      <c r="K42" s="0" t="n">
        <v>0</v>
      </c>
      <c r="L42" s="0" t="n">
        <v>0</v>
      </c>
      <c r="M42" s="0" t="n">
        <v>0</v>
      </c>
    </row>
    <row r="43" customFormat="false" ht="13.8" hidden="false" customHeight="false" outlineLevel="0" collapsed="false">
      <c r="F43" s="2" t="s">
        <v>17</v>
      </c>
      <c r="G43" s="0" t="n">
        <v>5.23868948221207E-013</v>
      </c>
      <c r="H43" s="0" t="n">
        <v>5.23868948221207E-013</v>
      </c>
      <c r="I43" s="0" t="n">
        <v>0</v>
      </c>
      <c r="J43" s="0" t="n">
        <v>0</v>
      </c>
      <c r="K43" s="0" t="n">
        <v>0</v>
      </c>
      <c r="L43" s="0" t="n">
        <v>0</v>
      </c>
      <c r="M43" s="0" t="n">
        <v>0</v>
      </c>
    </row>
    <row r="44" customFormat="false" ht="13.8" hidden="false" customHeight="false" outlineLevel="0" collapsed="false">
      <c r="F44" s="2" t="s">
        <v>18</v>
      </c>
      <c r="G44" s="0" t="n">
        <v>3.78349795937538E-013</v>
      </c>
      <c r="H44" s="0" t="n">
        <v>3.78349795937538E-013</v>
      </c>
      <c r="I44" s="0" t="n">
        <v>0</v>
      </c>
      <c r="J44" s="0" t="n">
        <v>0</v>
      </c>
      <c r="K44" s="0" t="n">
        <v>0</v>
      </c>
      <c r="L44" s="0" t="n">
        <v>0</v>
      </c>
      <c r="M44" s="0" t="n">
        <v>0</v>
      </c>
    </row>
    <row r="45" customFormat="false" ht="13.8" hidden="false" customHeight="false" outlineLevel="0" collapsed="false">
      <c r="F45" s="2" t="s">
        <v>19</v>
      </c>
      <c r="G45" s="0" t="n">
        <v>0</v>
      </c>
      <c r="H45" s="0" t="n">
        <v>-0.00205560742831767</v>
      </c>
      <c r="I45" s="0" t="n">
        <v>0</v>
      </c>
      <c r="J45" s="0" t="n">
        <v>0</v>
      </c>
      <c r="K45" s="0" t="n">
        <v>0</v>
      </c>
      <c r="L45" s="0" t="n">
        <v>0</v>
      </c>
      <c r="M45" s="0" t="n">
        <v>0</v>
      </c>
    </row>
    <row r="46" customFormat="false" ht="13.8" hidden="false" customHeight="false" outlineLevel="0" collapsed="false">
      <c r="F46" s="2" t="s">
        <v>20</v>
      </c>
      <c r="G46" s="0" t="n">
        <v>0</v>
      </c>
      <c r="H46" s="0" t="n">
        <v>-0.780104019179287</v>
      </c>
      <c r="I46" s="0" t="n">
        <v>0</v>
      </c>
      <c r="J46" s="0" t="n">
        <v>0</v>
      </c>
      <c r="K46" s="0" t="n">
        <v>0</v>
      </c>
      <c r="L46" s="0" t="n">
        <v>0</v>
      </c>
      <c r="M46" s="0" t="n">
        <v>0</v>
      </c>
    </row>
    <row r="47" customFormat="false" ht="13.8" hidden="false" customHeight="false" outlineLevel="0" collapsed="false">
      <c r="F47" s="2" t="s">
        <v>21</v>
      </c>
      <c r="G47" s="0" t="n">
        <v>0</v>
      </c>
      <c r="H47" s="0" t="n">
        <v>-3.44734833657719</v>
      </c>
      <c r="I47" s="0" t="n">
        <v>-217.14</v>
      </c>
      <c r="J47" s="0" t="n">
        <v>0</v>
      </c>
      <c r="K47" s="0" t="n">
        <v>-22.5213398</v>
      </c>
      <c r="L47" s="0" t="n">
        <v>26.6755499611922</v>
      </c>
      <c r="M47" s="0" t="n">
        <v>0</v>
      </c>
    </row>
    <row r="48" customFormat="false" ht="13.8" hidden="false" customHeight="false" outlineLevel="0" collapsed="false">
      <c r="F48" s="2" t="s">
        <v>22</v>
      </c>
      <c r="G48" s="0" t="n">
        <v>0</v>
      </c>
      <c r="H48" s="0" t="n">
        <v>-4.81642022214771</v>
      </c>
      <c r="I48" s="0" t="n">
        <v>-2.37403191840369</v>
      </c>
      <c r="J48" s="0" t="n">
        <v>0</v>
      </c>
      <c r="K48" s="0" t="n">
        <v>-198.426576456205</v>
      </c>
      <c r="L48" s="0" t="n">
        <v>0</v>
      </c>
      <c r="M48" s="0" t="n">
        <v>-402.054870283062</v>
      </c>
    </row>
    <row r="49" customFormat="false" ht="13.8" hidden="false" customHeight="false" outlineLevel="0" collapsed="false">
      <c r="F49" s="2" t="s">
        <v>23</v>
      </c>
      <c r="G49" s="0" t="n">
        <v>0</v>
      </c>
      <c r="H49" s="0" t="n">
        <v>-4.68701363372172</v>
      </c>
      <c r="I49" s="0" t="n">
        <v>-92.9498359060492</v>
      </c>
      <c r="J49" s="0" t="n">
        <v>0</v>
      </c>
      <c r="K49" s="0" t="n">
        <v>-351.730045590787</v>
      </c>
      <c r="L49" s="0" t="n">
        <v>0</v>
      </c>
      <c r="M49" s="0" t="n">
        <v>-141.978200088156</v>
      </c>
    </row>
    <row r="50" customFormat="false" ht="13.8" hidden="false" customHeight="false" outlineLevel="0" collapsed="false">
      <c r="F50" s="2" t="s">
        <v>24</v>
      </c>
      <c r="G50" s="0" t="n">
        <v>0</v>
      </c>
      <c r="H50" s="0" t="n">
        <v>-3.68554676465567</v>
      </c>
      <c r="I50" s="0" t="n">
        <v>-49.2598146542144</v>
      </c>
      <c r="J50" s="0" t="n">
        <v>0</v>
      </c>
      <c r="K50" s="0" t="n">
        <v>-27.203825</v>
      </c>
      <c r="L50" s="0" t="n">
        <v>0</v>
      </c>
      <c r="M50" s="0" t="n">
        <v>-384.844127617587</v>
      </c>
    </row>
    <row r="51" customFormat="false" ht="13.8" hidden="false" customHeight="false" outlineLevel="0" collapsed="false">
      <c r="F51" s="2" t="s">
        <v>25</v>
      </c>
      <c r="G51" s="0" t="n">
        <v>0</v>
      </c>
      <c r="H51" s="0" t="n">
        <v>-1.44630418373597</v>
      </c>
      <c r="I51" s="0" t="n">
        <v>0</v>
      </c>
      <c r="J51" s="0" t="n">
        <v>0</v>
      </c>
      <c r="K51" s="0" t="n">
        <v>0</v>
      </c>
      <c r="L51" s="0" t="n">
        <v>0</v>
      </c>
      <c r="M51" s="0" t="n">
        <v>0</v>
      </c>
    </row>
    <row r="52" customFormat="false" ht="13.8" hidden="false" customHeight="false" outlineLevel="0" collapsed="false">
      <c r="F52" s="2" t="s">
        <v>26</v>
      </c>
      <c r="G52" s="0" t="n">
        <v>0</v>
      </c>
      <c r="H52" s="0" t="n">
        <v>-0.0407834380693457</v>
      </c>
      <c r="I52" s="0" t="n">
        <v>0</v>
      </c>
      <c r="J52" s="0" t="n">
        <v>0</v>
      </c>
      <c r="K52" s="0" t="n">
        <v>0</v>
      </c>
      <c r="L52" s="0" t="n">
        <v>0</v>
      </c>
      <c r="M52" s="0" t="n">
        <v>0</v>
      </c>
    </row>
    <row r="53" customFormat="false" ht="13.8" hidden="false" customHeight="false" outlineLevel="0" collapsed="false">
      <c r="F53" s="2" t="s">
        <v>27</v>
      </c>
      <c r="G53" s="0" t="n">
        <v>1.5825207810849E-013</v>
      </c>
      <c r="H53" s="0" t="n">
        <v>1.5825207810849E-013</v>
      </c>
      <c r="I53" s="0" t="n">
        <v>0</v>
      </c>
      <c r="J53" s="0" t="n">
        <v>0</v>
      </c>
      <c r="K53" s="0" t="n">
        <v>0</v>
      </c>
      <c r="L53" s="0" t="n">
        <v>0</v>
      </c>
      <c r="M53" s="0" t="n">
        <v>0</v>
      </c>
    </row>
    <row r="54" customFormat="false" ht="13.8" hidden="false" customHeight="false" outlineLevel="0" collapsed="false">
      <c r="F54" s="2" t="s">
        <v>28</v>
      </c>
      <c r="G54" s="0" t="n">
        <v>1.45519152283669E-014</v>
      </c>
      <c r="H54" s="0" t="n">
        <v>1.45519152283669E-014</v>
      </c>
      <c r="I54" s="0" t="n">
        <v>0</v>
      </c>
      <c r="J54" s="0" t="n">
        <v>0</v>
      </c>
      <c r="K54" s="0" t="n">
        <v>0</v>
      </c>
      <c r="L54" s="0" t="n">
        <v>0</v>
      </c>
      <c r="M54" s="0" t="n">
        <v>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Roman,Regular"&amp;12&amp;Kffffff&amp;A</oddHeader>
    <oddFooter>&amp;C&amp;"Times New Roman,Regular"&amp;12&amp;KffffffPage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221</TotalTime>
  <Application>LibreOffice/7.3.7.2$Linux_X86_64 LibreOffice_project/30$Build-2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2025-12-02T19:53:34Z</dcterms:created>
  <dc:creator>Emilio</dc:creator>
  <dc:description/>
  <dc:language>es-AR</dc:language>
  <cp:lastModifiedBy/>
  <dcterms:modified xsi:type="dcterms:W3CDTF">2025-12-05T14:35:44Z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