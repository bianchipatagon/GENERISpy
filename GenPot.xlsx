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otencia" sheetId="1" state="visible" r:id="rId2"/>
    <sheet name="Generacion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<sst xmlns="http://schemas.openxmlformats.org/spreadsheetml/2006/main" count="50" uniqueCount="14">
  <si>
    <t xml:space="preserve">Tendencial</t>
  </si>
  <si>
    <t xml:space="preserve">Alternativo</t>
  </si>
  <si>
    <t xml:space="preserve">2050GD</t>
  </si>
  <si>
    <t xml:space="preserve">Fosil</t>
  </si>
  <si>
    <t xml:space="preserve">Solar</t>
  </si>
  <si>
    <t xml:space="preserve">Eolica</t>
  </si>
  <si>
    <t xml:space="preserve">Hidro</t>
  </si>
  <si>
    <t xml:space="preserve">SolarD</t>
  </si>
  <si>
    <t xml:space="preserve">suma</t>
  </si>
  <si>
    <t xml:space="preserve">tec</t>
  </si>
  <si>
    <t xml:space="preserve">T2050</t>
  </si>
  <si>
    <t xml:space="preserve">T2050GD</t>
  </si>
  <si>
    <t xml:space="preserve">A2050</t>
  </si>
  <si>
    <t xml:space="preserve">A2050GD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</si>
</sst>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 * #,##0.000_ ;_ * \-#,##0.000_ ;_ * \-??_ ;_ @_ "/>
    <numFmt numFmtId="166" formatCode="_ * #,##0.000_ ;_ * \-#,##0.000_ ;_ * \-??_ ;_ @_ 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2" activeCellId="1" sqref="C13:H18 E12"/>
    </sheetView>
  </sheetViews>
  <sheetFormatPr defaultColWidth="10.70703125" defaultRowHeight="15" zeroHeight="false" outlineLevelRow="0" outlineLevelCol="0"/>
  <sheetData>
    <row r="1" customFormat="false" ht="15" hidden="false" customHeight="false" outlineLevel="0" collapsed="false">
      <c r="C1" s="1" t="s">
        <v>0</v>
      </c>
      <c r="G1" s="1" t="s">
        <v>1</v>
      </c>
    </row>
    <row r="2" customFormat="false" ht="15" hidden="false" customHeight="false" outlineLevel="0" collapsed="false">
      <c r="C2" s="1" t="n">
        <v>2025</v>
      </c>
      <c r="D2" s="1" t="n">
        <v>2050</v>
      </c>
      <c r="E2" s="1" t="s">
        <v>2</v>
      </c>
      <c r="G2" s="1" t="n">
        <v>2025</v>
      </c>
      <c r="H2" s="1" t="n">
        <v>2050</v>
      </c>
      <c r="I2" s="1" t="s">
        <v>2</v>
      </c>
    </row>
    <row r="3" customFormat="false" ht="15" hidden="false" customHeight="false" outlineLevel="0" collapsed="false">
      <c r="B3" s="1" t="s">
        <v>3</v>
      </c>
      <c r="C3" s="2" t="n">
        <v>2668.7</v>
      </c>
      <c r="D3" s="1" t="n">
        <v>2843.92175</v>
      </c>
      <c r="E3" s="1" t="n">
        <v>2843.908516</v>
      </c>
      <c r="F3" s="1" t="s">
        <v>3</v>
      </c>
      <c r="G3" s="1" t="n">
        <v>2668.7</v>
      </c>
      <c r="H3" s="1" t="n">
        <v>2668.7</v>
      </c>
      <c r="I3" s="1" t="n">
        <v>2668.7</v>
      </c>
    </row>
    <row r="4" customFormat="false" ht="15" hidden="false" customHeight="false" outlineLevel="0" collapsed="false">
      <c r="B4" s="1" t="s">
        <v>4</v>
      </c>
      <c r="C4" s="2" t="n">
        <v>306.4</v>
      </c>
      <c r="D4" s="1" t="n">
        <v>504.4</v>
      </c>
      <c r="E4" s="1" t="n">
        <v>504.4</v>
      </c>
      <c r="F4" s="1" t="s">
        <v>4</v>
      </c>
      <c r="G4" s="1" t="n">
        <v>306.4</v>
      </c>
      <c r="H4" s="1" t="n">
        <v>1724.4</v>
      </c>
      <c r="I4" s="1" t="n">
        <v>1724.4</v>
      </c>
    </row>
    <row r="5" customFormat="false" ht="15" hidden="false" customHeight="false" outlineLevel="0" collapsed="false">
      <c r="B5" s="1" t="s">
        <v>5</v>
      </c>
      <c r="C5" s="2" t="n">
        <v>396</v>
      </c>
      <c r="D5" s="1" t="n">
        <v>396</v>
      </c>
      <c r="E5" s="1" t="n">
        <v>396</v>
      </c>
      <c r="F5" s="1" t="s">
        <v>5</v>
      </c>
      <c r="G5" s="1" t="n">
        <v>296</v>
      </c>
      <c r="H5" s="1" t="n">
        <v>927</v>
      </c>
      <c r="I5" s="1" t="n">
        <v>927</v>
      </c>
    </row>
    <row r="6" customFormat="false" ht="15" hidden="false" customHeight="false" outlineLevel="0" collapsed="false">
      <c r="B6" s="1" t="s">
        <v>6</v>
      </c>
      <c r="C6" s="2" t="n">
        <v>1135.1</v>
      </c>
      <c r="D6" s="1" t="n">
        <v>1254.1</v>
      </c>
      <c r="E6" s="1" t="n">
        <v>1254.1</v>
      </c>
      <c r="F6" s="1" t="s">
        <v>6</v>
      </c>
      <c r="G6" s="1" t="n">
        <v>1135.1</v>
      </c>
      <c r="H6" s="1" t="n">
        <v>1854.1</v>
      </c>
      <c r="I6" s="1" t="n">
        <v>1854.1</v>
      </c>
    </row>
    <row r="7" customFormat="false" ht="15" hidden="false" customHeight="false" outlineLevel="0" collapsed="false">
      <c r="B7" s="1" t="s">
        <v>7</v>
      </c>
      <c r="C7" s="1" t="n">
        <v>4.3</v>
      </c>
      <c r="D7" s="1" t="n">
        <v>100</v>
      </c>
      <c r="E7" s="1" t="n">
        <v>1000</v>
      </c>
      <c r="F7" s="1" t="s">
        <v>7</v>
      </c>
      <c r="G7" s="1" t="n">
        <v>4.3</v>
      </c>
      <c r="H7" s="1" t="n">
        <v>100</v>
      </c>
      <c r="I7" s="1" t="n">
        <v>1000</v>
      </c>
    </row>
    <row r="9" customFormat="false" ht="15" hidden="false" customHeight="false" outlineLevel="0" collapsed="false">
      <c r="B9" s="1" t="s">
        <v>8</v>
      </c>
      <c r="C9" s="2" t="n">
        <f aca="false">SUM(C3:C7)</f>
        <v>4510.5</v>
      </c>
      <c r="D9" s="2" t="n">
        <f aca="false">SUM(D3:D7)</f>
        <v>5098.42175</v>
      </c>
      <c r="E9" s="2" t="n">
        <f aca="false">SUM(E3:E7)</f>
        <v>5998.408516</v>
      </c>
      <c r="F9" s="2" t="n">
        <f aca="false">SUM(F3:F7)</f>
        <v>0</v>
      </c>
      <c r="G9" s="2" t="n">
        <f aca="false">SUM(G3:G7)</f>
        <v>4410.5</v>
      </c>
      <c r="H9" s="2" t="n">
        <f aca="false">SUM(H3:H7)</f>
        <v>7274.2</v>
      </c>
      <c r="I9" s="2" t="n">
        <f aca="false">SUM(I3:I7)</f>
        <v>8174.2</v>
      </c>
    </row>
    <row r="10" customFormat="false" ht="15" hidden="false" customHeight="false" outlineLevel="0" collapsed="false">
      <c r="D10" s="1" t="n">
        <f aca="false">((D9*100)/$C9)-100</f>
        <v>13.0345139119831</v>
      </c>
      <c r="E10" s="1" t="n">
        <f aca="false">((E9*100)/$C9)-100</f>
        <v>32.9876624764438</v>
      </c>
      <c r="H10" s="1" t="n">
        <f aca="false">((H9*100)/$C9)-100</f>
        <v>61.2725861877841</v>
      </c>
      <c r="I10" s="1" t="n">
        <f aca="false">((I9*100)/$C9)-100</f>
        <v>81.2260281565237</v>
      </c>
    </row>
    <row r="12" customFormat="false" ht="13.8" hidden="false" customHeight="false" outlineLevel="0" collapsed="false">
      <c r="D12" s="1" t="s">
        <v>9</v>
      </c>
      <c r="E12" s="1" t="n">
        <v>2025</v>
      </c>
      <c r="F12" s="1" t="s">
        <v>10</v>
      </c>
      <c r="G12" s="1" t="s">
        <v>11</v>
      </c>
      <c r="H12" s="1" t="s">
        <v>12</v>
      </c>
      <c r="I12" s="1" t="s">
        <v>13</v>
      </c>
    </row>
    <row r="13" customFormat="false" ht="13.8" hidden="false" customHeight="false" outlineLevel="0" collapsed="false">
      <c r="D13" s="1" t="s">
        <v>3</v>
      </c>
      <c r="E13" s="2" t="n">
        <v>2668.7</v>
      </c>
      <c r="F13" s="1" t="n">
        <v>2843.92175</v>
      </c>
      <c r="G13" s="1" t="n">
        <v>2843.908516</v>
      </c>
      <c r="H13" s="1" t="n">
        <v>2668.7</v>
      </c>
      <c r="I13" s="1" t="n">
        <v>2668.7</v>
      </c>
    </row>
    <row r="14" customFormat="false" ht="13.8" hidden="false" customHeight="false" outlineLevel="0" collapsed="false">
      <c r="D14" s="1" t="s">
        <v>4</v>
      </c>
      <c r="E14" s="2" t="n">
        <v>306.4</v>
      </c>
      <c r="F14" s="1" t="n">
        <v>504.4</v>
      </c>
      <c r="G14" s="1" t="n">
        <v>504.4</v>
      </c>
      <c r="H14" s="1" t="n">
        <v>1724.4</v>
      </c>
      <c r="I14" s="1" t="n">
        <v>1724.4</v>
      </c>
    </row>
    <row r="15" customFormat="false" ht="13.8" hidden="false" customHeight="false" outlineLevel="0" collapsed="false">
      <c r="D15" s="1" t="s">
        <v>5</v>
      </c>
      <c r="E15" s="2" t="n">
        <v>396</v>
      </c>
      <c r="F15" s="1" t="n">
        <v>396</v>
      </c>
      <c r="G15" s="1" t="n">
        <v>396</v>
      </c>
      <c r="H15" s="1" t="n">
        <v>927</v>
      </c>
      <c r="I15" s="1" t="n">
        <v>927</v>
      </c>
    </row>
    <row r="16" customFormat="false" ht="13.8" hidden="false" customHeight="false" outlineLevel="0" collapsed="false">
      <c r="D16" s="1" t="s">
        <v>6</v>
      </c>
      <c r="E16" s="2" t="n">
        <v>1135.1</v>
      </c>
      <c r="F16" s="1" t="n">
        <v>1254.1</v>
      </c>
      <c r="G16" s="1" t="n">
        <v>1254.1</v>
      </c>
      <c r="H16" s="1" t="n">
        <v>1854.1</v>
      </c>
      <c r="I16" s="1" t="n">
        <v>1854.1</v>
      </c>
    </row>
    <row r="17" customFormat="false" ht="13.8" hidden="false" customHeight="false" outlineLevel="0" collapsed="false">
      <c r="D17" s="1" t="s">
        <v>7</v>
      </c>
      <c r="E17" s="1" t="n">
        <v>4.3</v>
      </c>
      <c r="F17" s="1" t="n">
        <v>100</v>
      </c>
      <c r="G17" s="1" t="n">
        <v>1000</v>
      </c>
      <c r="H17" s="1" t="n">
        <v>100</v>
      </c>
      <c r="I17" s="1" t="n">
        <v>1000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K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3" activeCellId="0" sqref="C13:H18"/>
    </sheetView>
  </sheetViews>
  <sheetFormatPr defaultColWidth="10.70703125" defaultRowHeight="15" zeroHeight="false" outlineLevelRow="0" outlineLevelCol="0"/>
  <sheetData>
    <row r="1" customFormat="false" ht="15" hidden="false" customHeight="false" outlineLevel="0" collapsed="false">
      <c r="C1" s="1" t="s">
        <v>0</v>
      </c>
      <c r="G1" s="1" t="s">
        <v>1</v>
      </c>
    </row>
    <row r="2" customFormat="false" ht="15" hidden="false" customHeight="false" outlineLevel="0" collapsed="false">
      <c r="C2" s="1" t="n">
        <v>2025</v>
      </c>
      <c r="D2" s="1" t="n">
        <v>2050</v>
      </c>
      <c r="E2" s="1" t="s">
        <v>2</v>
      </c>
      <c r="G2" s="1" t="n">
        <v>2025</v>
      </c>
      <c r="H2" s="1" t="n">
        <v>2050</v>
      </c>
      <c r="I2" s="1" t="s">
        <v>2</v>
      </c>
    </row>
    <row r="3" customFormat="false" ht="15" hidden="false" customHeight="false" outlineLevel="0" collapsed="false">
      <c r="B3" s="1" t="s">
        <v>3</v>
      </c>
      <c r="C3" s="2" t="n">
        <v>5289.24376420701</v>
      </c>
      <c r="D3" s="1" t="n">
        <v>14054.70993583</v>
      </c>
      <c r="E3" s="1" t="n">
        <v>12478.2202684305</v>
      </c>
      <c r="F3" s="1" t="s">
        <v>3</v>
      </c>
      <c r="G3" s="1" t="n">
        <v>4622.43253650817</v>
      </c>
      <c r="H3" s="1" t="n">
        <v>6292.92978805989</v>
      </c>
      <c r="I3" s="1" t="n">
        <v>5892.19740136245</v>
      </c>
    </row>
    <row r="4" customFormat="false" ht="15" hidden="false" customHeight="false" outlineLevel="0" collapsed="false">
      <c r="B4" s="1" t="s">
        <v>4</v>
      </c>
      <c r="C4" s="2" t="n">
        <v>390.208773832638</v>
      </c>
      <c r="D4" s="1" t="n">
        <v>1054.03476738027</v>
      </c>
      <c r="E4" s="1" t="n">
        <v>924.945549091131</v>
      </c>
      <c r="F4" s="1" t="s">
        <v>4</v>
      </c>
      <c r="G4" s="1" t="n">
        <v>640.004746358254</v>
      </c>
      <c r="H4" s="1" t="n">
        <v>3529.85441190987</v>
      </c>
      <c r="I4" s="1" t="n">
        <v>3284.95071683252</v>
      </c>
    </row>
    <row r="5" customFormat="false" ht="15" hidden="false" customHeight="false" outlineLevel="0" collapsed="false">
      <c r="B5" s="1" t="s">
        <v>5</v>
      </c>
      <c r="C5" s="2" t="n">
        <v>1349.9866526118</v>
      </c>
      <c r="D5" s="1" t="n">
        <v>1359.57474429</v>
      </c>
      <c r="E5" s="1" t="n">
        <v>1359.57474429</v>
      </c>
      <c r="F5" s="1" t="s">
        <v>5</v>
      </c>
      <c r="G5" s="1" t="n">
        <v>1008.93004595667</v>
      </c>
      <c r="H5" s="1" t="n">
        <v>3143.65119540814</v>
      </c>
      <c r="I5" s="1" t="n">
        <v>2930.84032355579</v>
      </c>
    </row>
    <row r="6" customFormat="false" ht="15" hidden="false" customHeight="false" outlineLevel="0" collapsed="false">
      <c r="B6" s="1" t="s">
        <v>6</v>
      </c>
      <c r="C6" s="2" t="n">
        <v>4353.02878235699</v>
      </c>
      <c r="D6" s="1" t="n">
        <v>5581.63242991871</v>
      </c>
      <c r="E6" s="1" t="n">
        <v>5562.50849050437</v>
      </c>
      <c r="F6" s="1" t="s">
        <v>6</v>
      </c>
      <c r="G6" s="1" t="n">
        <v>5005.64753670141</v>
      </c>
      <c r="H6" s="1" t="n">
        <v>9236.74134104113</v>
      </c>
      <c r="I6" s="1" t="n">
        <v>8351.89093607524</v>
      </c>
    </row>
    <row r="7" customFormat="false" ht="15" hidden="false" customHeight="false" outlineLevel="0" collapsed="false">
      <c r="B7" s="1" t="s">
        <v>7</v>
      </c>
      <c r="C7" s="1" t="n">
        <v>7.5336</v>
      </c>
      <c r="D7" s="1" t="n">
        <v>176.9</v>
      </c>
      <c r="E7" s="1" t="n">
        <v>1773.024</v>
      </c>
      <c r="F7" s="1" t="s">
        <v>7</v>
      </c>
      <c r="G7" s="1" t="n">
        <v>7.5336</v>
      </c>
      <c r="H7" s="1" t="n">
        <v>176.9</v>
      </c>
      <c r="I7" s="1" t="n">
        <v>1773.024</v>
      </c>
    </row>
    <row r="9" customFormat="false" ht="15" hidden="false" customHeight="false" outlineLevel="0" collapsed="false">
      <c r="B9" s="1" t="s">
        <v>8</v>
      </c>
      <c r="C9" s="1" t="n">
        <f aca="false">SUM(C3:C7)</f>
        <v>11390.0015730084</v>
      </c>
      <c r="D9" s="1" t="n">
        <f aca="false">SUM(D3:D7)</f>
        <v>22226.851877419</v>
      </c>
      <c r="E9" s="1" t="n">
        <f aca="false">SUM(E3:E7)</f>
        <v>22098.273052316</v>
      </c>
      <c r="F9" s="1" t="n">
        <f aca="false">SUM(F3:F7)</f>
        <v>0</v>
      </c>
      <c r="G9" s="1" t="n">
        <f aca="false">SUM(G3:G7)</f>
        <v>11284.5484655245</v>
      </c>
      <c r="H9" s="1" t="n">
        <f aca="false">SUM(H3:H7)</f>
        <v>22380.076736419</v>
      </c>
      <c r="I9" s="1" t="n">
        <f aca="false">SUM(I3:I7)</f>
        <v>22232.903377826</v>
      </c>
    </row>
    <row r="10" customFormat="false" ht="15" hidden="false" customHeight="false" outlineLevel="0" collapsed="false">
      <c r="D10" s="1" t="n">
        <f aca="false">((D9*100)/$C9)-100</f>
        <v>95.1435365039045</v>
      </c>
      <c r="E10" s="1" t="n">
        <f aca="false">((E9*100)/$C9)-100</f>
        <v>94.0146619881384</v>
      </c>
      <c r="H10" s="1" t="n">
        <f aca="false">((H9*100)/$C9)-100</f>
        <v>96.4887940793126</v>
      </c>
      <c r="I10" s="1" t="n">
        <f aca="false">((I9*100)/$C9)-100</f>
        <v>95.1966664386827</v>
      </c>
    </row>
    <row r="13" customFormat="false" ht="13.8" hidden="false" customHeight="false" outlineLevel="0" collapsed="false">
      <c r="C13" s="1" t="s">
        <v>9</v>
      </c>
      <c r="D13" s="1" t="n">
        <v>2025</v>
      </c>
      <c r="E13" s="1" t="s">
        <v>10</v>
      </c>
      <c r="F13" s="1" t="s">
        <v>11</v>
      </c>
      <c r="G13" s="1" t="s">
        <v>12</v>
      </c>
      <c r="H13" s="1" t="s">
        <v>13</v>
      </c>
    </row>
    <row r="14" customFormat="false" ht="13.8" hidden="false" customHeight="false" outlineLevel="0" collapsed="false">
      <c r="C14" s="1" t="s">
        <v>3</v>
      </c>
      <c r="D14" s="3" t="n">
        <v>14004.985412347</v>
      </c>
      <c r="E14" s="1" t="n">
        <v>12433.8141615303</v>
      </c>
      <c r="F14" s="1" t="n">
        <v>12478.2202684305</v>
      </c>
      <c r="G14" s="1" t="n">
        <v>6286.42568568489</v>
      </c>
      <c r="H14" s="1" t="n">
        <v>5885.69329898745</v>
      </c>
    </row>
    <row r="15" customFormat="false" ht="13.8" hidden="false" customHeight="false" outlineLevel="0" collapsed="false">
      <c r="C15" s="1" t="s">
        <v>4</v>
      </c>
      <c r="D15" s="3" t="n">
        <v>1054.03476738027</v>
      </c>
      <c r="E15" s="1" t="n">
        <v>905.599419906902</v>
      </c>
      <c r="F15" s="1" t="n">
        <v>924.945549091131</v>
      </c>
      <c r="G15" s="1" t="n">
        <v>3464.8245596943</v>
      </c>
      <c r="H15" s="1" t="n">
        <v>3173.76072485795</v>
      </c>
    </row>
    <row r="16" customFormat="false" ht="13.8" hidden="false" customHeight="false" outlineLevel="0" collapsed="false">
      <c r="C16" s="1" t="s">
        <v>5</v>
      </c>
      <c r="D16" s="3" t="n">
        <v>1359.57474429</v>
      </c>
      <c r="E16" s="1" t="n">
        <v>1359.57474429</v>
      </c>
      <c r="F16" s="1" t="n">
        <v>1359.57474429</v>
      </c>
      <c r="G16" s="1" t="n">
        <v>3197.55375517722</v>
      </c>
      <c r="H16" s="1" t="n">
        <v>2946.1971433905</v>
      </c>
    </row>
    <row r="17" customFormat="false" ht="13.8" hidden="false" customHeight="false" outlineLevel="0" collapsed="false">
      <c r="C17" s="1" t="s">
        <v>6</v>
      </c>
      <c r="D17" s="3" t="n">
        <v>5581.63242991871</v>
      </c>
      <c r="E17" s="1" t="n">
        <v>5581.63242991871</v>
      </c>
      <c r="F17" s="1" t="n">
        <v>5562.50849050437</v>
      </c>
      <c r="G17" s="1" t="n">
        <v>9247.8686334876</v>
      </c>
      <c r="H17" s="1" t="n">
        <v>8447.7241082151</v>
      </c>
    </row>
    <row r="18" customFormat="false" ht="13.8" hidden="false" customHeight="false" outlineLevel="0" collapsed="false">
      <c r="C18" s="1" t="s">
        <v>7</v>
      </c>
      <c r="D18" s="1" t="n">
        <v>7.5336</v>
      </c>
      <c r="E18" s="1" t="n">
        <v>176.9</v>
      </c>
      <c r="F18" s="1" t="n">
        <v>1773.024</v>
      </c>
      <c r="G18" s="1" t="n">
        <v>176.9</v>
      </c>
      <c r="H18" s="1" t="n">
        <v>1773.024</v>
      </c>
    </row>
    <row r="26" customFormat="false" ht="13.8" hidden="false" customHeight="false" outlineLevel="0" collapsed="false">
      <c r="E26" s="3" t="n">
        <v>14004.985412347</v>
      </c>
      <c r="G26" s="0" t="n">
        <v>12433.8141615303</v>
      </c>
      <c r="I26" s="0" t="n">
        <v>6286.42568568489</v>
      </c>
      <c r="K26" s="0" t="n">
        <v>5885.69329898745</v>
      </c>
    </row>
    <row r="27" customFormat="false" ht="13.8" hidden="false" customHeight="false" outlineLevel="0" collapsed="false">
      <c r="E27" s="3" t="n">
        <v>1054.03476738027</v>
      </c>
      <c r="G27" s="0" t="n">
        <v>905.599419906902</v>
      </c>
      <c r="I27" s="0" t="n">
        <v>3464.8245596943</v>
      </c>
      <c r="K27" s="0" t="n">
        <v>3173.76072485795</v>
      </c>
    </row>
    <row r="28" customFormat="false" ht="13.8" hidden="false" customHeight="false" outlineLevel="0" collapsed="false">
      <c r="E28" s="3" t="n">
        <v>1359.57474429</v>
      </c>
      <c r="G28" s="0" t="n">
        <v>1359.57474429</v>
      </c>
      <c r="I28" s="0" t="n">
        <v>3197.55375517722</v>
      </c>
      <c r="K28" s="0" t="n">
        <v>2946.1971433905</v>
      </c>
    </row>
    <row r="29" customFormat="false" ht="13.8" hidden="false" customHeight="false" outlineLevel="0" collapsed="false">
      <c r="E29" s="3" t="n">
        <v>5581.63242991871</v>
      </c>
      <c r="G29" s="0" t="n">
        <v>5581.63242991871</v>
      </c>
      <c r="I29" s="0" t="n">
        <v>9247.8686334876</v>
      </c>
      <c r="K29" s="0" t="n">
        <v>8447.7241082151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2025-12-05T19:01:54Z</dcterms:created>
  <dc:creator>Emilio</dc:creator>
  <dc:description/>
  <dc:language>es-AR</dc:language>
  <cp:lastModifiedBy/>
  <dcterms:modified xsi:type="dcterms:W3CDTF">2025-12-20T09:57:57Z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