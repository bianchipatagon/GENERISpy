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milio\Documents\GENERIS\informes\final\"/>
    </mc:Choice>
  </mc:AlternateContent>
  <xr:revisionPtr revIDLastSave="0" documentId="13_ncr:1_{782C045B-73E0-4B85-8B95-A5F4155FBF0C}" xr6:coauthVersionLast="47" xr6:coauthVersionMax="47" xr10:uidLastSave="{00000000-0000-0000-0000-000000000000}"/>
  <bookViews>
    <workbookView xWindow="-120" yWindow="-120" windowWidth="20730" windowHeight="11160" activeTab="1" xr2:uid="{BE809E9A-9A30-4893-BEE0-58B4BCB66A77}"/>
  </bookViews>
  <sheets>
    <sheet name="Potencia" sheetId="1" r:id="rId1"/>
    <sheet name="Generacio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10" i="2" l="1"/>
  <c r="H10" i="2"/>
  <c r="D10" i="2"/>
  <c r="E10" i="2"/>
  <c r="I10" i="1"/>
  <c r="H10" i="1"/>
  <c r="E10" i="1"/>
  <c r="D10" i="1"/>
  <c r="I9" i="2"/>
  <c r="H9" i="2"/>
  <c r="G9" i="2"/>
  <c r="F9" i="2"/>
  <c r="E9" i="2"/>
  <c r="D9" i="2"/>
  <c r="C9" i="2"/>
  <c r="D9" i="1"/>
  <c r="E9" i="1"/>
  <c r="F9" i="1"/>
  <c r="G9" i="1"/>
  <c r="H9" i="1"/>
  <c r="I9" i="1"/>
  <c r="C9" i="1"/>
</calcChain>
</file>

<file path=xl/sharedStrings.xml><?xml version="1.0" encoding="utf-8"?>
<sst xmlns="http://schemas.openxmlformats.org/spreadsheetml/2006/main" count="30" uniqueCount="9">
  <si>
    <t>Tendencial</t>
  </si>
  <si>
    <t>Fosil</t>
  </si>
  <si>
    <t>Solar</t>
  </si>
  <si>
    <t>Eolica</t>
  </si>
  <si>
    <t>Hidro</t>
  </si>
  <si>
    <t>SolarD</t>
  </si>
  <si>
    <t>2050GD</t>
  </si>
  <si>
    <t>Alternativo</t>
  </si>
  <si>
    <t>suma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</si>
</sst>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* #,##0.000_ ;_ * \-#,##0.000_ ;_ * &quot;&quot;\-&quot;&quot;??_ ;_ @_ 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FF9C1A-0922-43C0-9D44-FA8EE9798D28}">
  <dimension ref="B1:I10"/>
  <sheetViews>
    <sheetView workbookViewId="0">
      <selection activeCell="D10" sqref="D10:E10"/>
    </sheetView>
  </sheetViews>
  <sheetFormatPr baseColWidth="10" defaultRowHeight="15" x14ac:dyDescent="0.25"/>
  <sheetData>
    <row r="1" spans="2:9" x14ac:dyDescent="0.25">
      <c r="C1" t="s">
        <v>0</v>
      </c>
      <c r="G1" t="s">
        <v>7</v>
      </c>
    </row>
    <row r="2" spans="2:9" x14ac:dyDescent="0.25">
      <c r="C2">
        <v>2025</v>
      </c>
      <c r="D2">
        <v>2050</v>
      </c>
      <c r="E2" t="s">
        <v>6</v>
      </c>
      <c r="G2">
        <v>2025</v>
      </c>
      <c r="H2">
        <v>2050</v>
      </c>
      <c r="I2" t="s">
        <v>6</v>
      </c>
    </row>
    <row r="3" spans="2:9" x14ac:dyDescent="0.25">
      <c r="B3" t="s">
        <v>1</v>
      </c>
      <c r="C3" s="1">
        <v>2668.7</v>
      </c>
      <c r="D3">
        <v>2843.92175</v>
      </c>
      <c r="E3">
        <v>2843.908516</v>
      </c>
      <c r="F3" t="s">
        <v>1</v>
      </c>
      <c r="G3">
        <v>2668.7</v>
      </c>
      <c r="H3">
        <v>2668.7</v>
      </c>
      <c r="I3">
        <v>2668.7</v>
      </c>
    </row>
    <row r="4" spans="2:9" x14ac:dyDescent="0.25">
      <c r="B4" t="s">
        <v>2</v>
      </c>
      <c r="C4" s="1">
        <v>306.39999999999998</v>
      </c>
      <c r="D4">
        <v>504.4</v>
      </c>
      <c r="E4">
        <v>504.4</v>
      </c>
      <c r="F4" t="s">
        <v>2</v>
      </c>
      <c r="G4">
        <v>306.39999999999998</v>
      </c>
      <c r="H4">
        <v>1724.4</v>
      </c>
      <c r="I4">
        <v>1724.4</v>
      </c>
    </row>
    <row r="5" spans="2:9" x14ac:dyDescent="0.25">
      <c r="B5" t="s">
        <v>3</v>
      </c>
      <c r="C5" s="1">
        <v>396</v>
      </c>
      <c r="D5">
        <v>396</v>
      </c>
      <c r="E5">
        <v>396</v>
      </c>
      <c r="F5" t="s">
        <v>3</v>
      </c>
      <c r="G5">
        <v>296</v>
      </c>
      <c r="H5">
        <v>927</v>
      </c>
      <c r="I5">
        <v>927</v>
      </c>
    </row>
    <row r="6" spans="2:9" x14ac:dyDescent="0.25">
      <c r="B6" t="s">
        <v>4</v>
      </c>
      <c r="C6" s="1">
        <v>1135.0999999999999</v>
      </c>
      <c r="D6">
        <v>1254.0999999999999</v>
      </c>
      <c r="E6">
        <v>1254.0999999999999</v>
      </c>
      <c r="F6" t="s">
        <v>4</v>
      </c>
      <c r="G6">
        <v>1135.0999999999999</v>
      </c>
      <c r="H6">
        <v>1854.1</v>
      </c>
      <c r="I6">
        <v>1854.1</v>
      </c>
    </row>
    <row r="7" spans="2:9" x14ac:dyDescent="0.25">
      <c r="B7" t="s">
        <v>5</v>
      </c>
      <c r="C7">
        <v>4.3</v>
      </c>
      <c r="D7">
        <v>100</v>
      </c>
      <c r="E7">
        <v>1000</v>
      </c>
      <c r="F7" t="s">
        <v>5</v>
      </c>
      <c r="G7">
        <v>4.3</v>
      </c>
      <c r="H7">
        <v>100</v>
      </c>
      <c r="I7">
        <v>1000</v>
      </c>
    </row>
    <row r="9" spans="2:9" x14ac:dyDescent="0.25">
      <c r="B9" t="s">
        <v>8</v>
      </c>
      <c r="C9" s="1">
        <f>SUM(C3:C7)</f>
        <v>4510.5</v>
      </c>
      <c r="D9" s="1">
        <f t="shared" ref="D9:I9" si="0">SUM(D3:D7)</f>
        <v>5098.4217499999995</v>
      </c>
      <c r="E9" s="1">
        <f t="shared" si="0"/>
        <v>5998.4085159999995</v>
      </c>
      <c r="F9" s="1">
        <f t="shared" si="0"/>
        <v>0</v>
      </c>
      <c r="G9" s="1">
        <f t="shared" si="0"/>
        <v>4410.5</v>
      </c>
      <c r="H9" s="1">
        <f t="shared" si="0"/>
        <v>7274.2000000000007</v>
      </c>
      <c r="I9" s="1">
        <f t="shared" si="0"/>
        <v>8174.2000000000007</v>
      </c>
    </row>
    <row r="10" spans="2:9" x14ac:dyDescent="0.25">
      <c r="D10">
        <f>((D9*100)/$C9)-100</f>
        <v>13.03451391198314</v>
      </c>
      <c r="E10">
        <f>((E9*100)/$C9)-100</f>
        <v>32.98766247644383</v>
      </c>
      <c r="H10">
        <f>((H9*100)/$C9)-100</f>
        <v>61.272586187784071</v>
      </c>
      <c r="I10">
        <f>((I9*100)/$C9)-100</f>
        <v>81.226028156523682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776D7-AA3E-4C28-8091-B3300DECEF21}">
  <dimension ref="B1:I10"/>
  <sheetViews>
    <sheetView tabSelected="1" workbookViewId="0">
      <selection activeCell="D18" sqref="D18"/>
    </sheetView>
  </sheetViews>
  <sheetFormatPr baseColWidth="10" defaultRowHeight="15" x14ac:dyDescent="0.25"/>
  <sheetData>
    <row r="1" spans="2:9" x14ac:dyDescent="0.25">
      <c r="C1" t="s">
        <v>0</v>
      </c>
      <c r="G1" t="s">
        <v>7</v>
      </c>
    </row>
    <row r="2" spans="2:9" x14ac:dyDescent="0.25">
      <c r="C2">
        <v>2025</v>
      </c>
      <c r="D2">
        <v>2050</v>
      </c>
      <c r="E2" t="s">
        <v>6</v>
      </c>
      <c r="G2">
        <v>2025</v>
      </c>
      <c r="H2">
        <v>2050</v>
      </c>
      <c r="I2" t="s">
        <v>6</v>
      </c>
    </row>
    <row r="3" spans="2:9" x14ac:dyDescent="0.25">
      <c r="B3" t="s">
        <v>1</v>
      </c>
      <c r="C3" s="1">
        <v>5289.2437642070145</v>
      </c>
      <c r="D3">
        <v>14054.709935830044</v>
      </c>
      <c r="E3">
        <v>12478.220268430461</v>
      </c>
      <c r="F3" t="s">
        <v>1</v>
      </c>
      <c r="G3">
        <v>4622.4325365081695</v>
      </c>
      <c r="H3">
        <v>6292.929788059887</v>
      </c>
      <c r="I3">
        <v>5892.1974013624467</v>
      </c>
    </row>
    <row r="4" spans="2:9" x14ac:dyDescent="0.25">
      <c r="B4" t="s">
        <v>2</v>
      </c>
      <c r="C4" s="1">
        <v>390.20877383263843</v>
      </c>
      <c r="D4">
        <v>1054.0347673802676</v>
      </c>
      <c r="E4">
        <v>924.94554909113094</v>
      </c>
      <c r="F4" t="s">
        <v>2</v>
      </c>
      <c r="G4">
        <v>640.0047463582539</v>
      </c>
      <c r="H4">
        <v>3529.8544119098651</v>
      </c>
      <c r="I4">
        <v>3284.9507168325208</v>
      </c>
    </row>
    <row r="5" spans="2:9" x14ac:dyDescent="0.25">
      <c r="B5" t="s">
        <v>3</v>
      </c>
      <c r="C5" s="1">
        <v>1349.9866526117999</v>
      </c>
      <c r="D5">
        <v>1359.5747442899997</v>
      </c>
      <c r="E5">
        <v>1359.5747442899997</v>
      </c>
      <c r="F5" t="s">
        <v>3</v>
      </c>
      <c r="G5">
        <v>1008.9300459566666</v>
      </c>
      <c r="H5">
        <v>3143.6511954081425</v>
      </c>
      <c r="I5">
        <v>2930.8403235557894</v>
      </c>
    </row>
    <row r="6" spans="2:9" x14ac:dyDescent="0.25">
      <c r="B6" t="s">
        <v>4</v>
      </c>
      <c r="C6" s="1">
        <v>4353.0287823569861</v>
      </c>
      <c r="D6">
        <v>5581.6324299187063</v>
      </c>
      <c r="E6">
        <v>5562.5084905043714</v>
      </c>
      <c r="F6" t="s">
        <v>4</v>
      </c>
      <c r="G6">
        <v>5005.6475367014064</v>
      </c>
      <c r="H6">
        <v>9236.7413410411264</v>
      </c>
      <c r="I6">
        <v>8351.8909360752368</v>
      </c>
    </row>
    <row r="7" spans="2:9" x14ac:dyDescent="0.25">
      <c r="B7" t="s">
        <v>5</v>
      </c>
      <c r="C7">
        <v>7.5336000000000007</v>
      </c>
      <c r="D7">
        <v>1773.0239999999997</v>
      </c>
      <c r="E7">
        <v>1773.0239999999997</v>
      </c>
      <c r="F7" t="s">
        <v>5</v>
      </c>
      <c r="G7">
        <v>7.5336000000000007</v>
      </c>
      <c r="H7">
        <v>1773.0239999999997</v>
      </c>
      <c r="I7">
        <v>1773.0239999999997</v>
      </c>
    </row>
    <row r="9" spans="2:9" x14ac:dyDescent="0.25">
      <c r="B9" t="s">
        <v>8</v>
      </c>
      <c r="C9">
        <f>SUM(C3:C7)</f>
        <v>11390.00157300844</v>
      </c>
      <c r="D9">
        <f t="shared" ref="D9:I9" si="0">SUM(D3:D7)</f>
        <v>23822.97587741902</v>
      </c>
      <c r="E9">
        <f t="shared" si="0"/>
        <v>22098.273052315966</v>
      </c>
      <c r="F9">
        <f t="shared" si="0"/>
        <v>0</v>
      </c>
      <c r="G9">
        <f t="shared" si="0"/>
        <v>11284.548465524496</v>
      </c>
      <c r="H9">
        <f t="shared" si="0"/>
        <v>23976.200736419025</v>
      </c>
      <c r="I9">
        <f t="shared" si="0"/>
        <v>22232.903377825995</v>
      </c>
    </row>
    <row r="10" spans="2:9" x14ac:dyDescent="0.25">
      <c r="D10">
        <f>((D9*100)/$C9)-100</f>
        <v>109.15691472662951</v>
      </c>
      <c r="E10">
        <f>((E9*100)/$C9)-100</f>
        <v>94.014661988138386</v>
      </c>
      <c r="H10">
        <f>((H9*100)/$C9)-100</f>
        <v>110.50217230203765</v>
      </c>
      <c r="I10">
        <f>((I9*100)/$C9)-100</f>
        <v>95.196666438682684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Potencia</vt:lpstr>
      <vt:lpstr>Generacion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Emilio</dc:creator>
  <cp:lastModifiedBy>Emilio</cp:lastModifiedBy>
  <dcterms:created xsi:type="dcterms:W3CDTF">2025-12-05T19:01:54Z</dcterms:created>
  <dcterms:modified xsi:type="dcterms:W3CDTF">2025-12-05T19:22:48Z</dcterms:modified>
</cp:coreProperties>
</file>